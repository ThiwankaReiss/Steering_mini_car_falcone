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wanka\stm_work\Ackerman Steering\"/>
    </mc:Choice>
  </mc:AlternateContent>
  <xr:revisionPtr revIDLastSave="0" documentId="13_ncr:1_{153ECEBE-4276-4337-A5DC-2688D9960E82}" xr6:coauthVersionLast="47" xr6:coauthVersionMax="47" xr10:uidLastSave="{00000000-0000-0000-0000-000000000000}"/>
  <bookViews>
    <workbookView xWindow="-108" yWindow="-108" windowWidth="23256" windowHeight="13896" activeTab="1" xr2:uid="{824A984E-BC13-4AD5-8422-841ECF627443}"/>
  </bookViews>
  <sheets>
    <sheet name="Plot14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L5" i="1" s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J6" i="1"/>
  <c r="J7" i="1"/>
  <c r="J8" i="1"/>
  <c r="J9" i="1"/>
  <c r="J10" i="1"/>
  <c r="J11" i="1"/>
  <c r="K11" i="1" s="1"/>
  <c r="J12" i="1"/>
  <c r="K12" i="1" s="1"/>
  <c r="J13" i="1"/>
  <c r="J14" i="1"/>
  <c r="J15" i="1"/>
  <c r="J16" i="1"/>
  <c r="J17" i="1"/>
  <c r="J18" i="1"/>
  <c r="K18" i="1" s="1"/>
  <c r="J19" i="1"/>
  <c r="K19" i="1" s="1"/>
  <c r="J20" i="1"/>
  <c r="K20" i="1" s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K35" i="1" s="1"/>
  <c r="J36" i="1"/>
  <c r="K36" i="1" s="1"/>
  <c r="J37" i="1"/>
  <c r="J38" i="1"/>
  <c r="J39" i="1"/>
  <c r="J40" i="1"/>
  <c r="J41" i="1"/>
  <c r="J42" i="1"/>
  <c r="J43" i="1"/>
  <c r="J44" i="1"/>
  <c r="J45" i="1"/>
  <c r="J46" i="1"/>
  <c r="J47" i="1"/>
  <c r="J48" i="1"/>
  <c r="K48" i="1" s="1"/>
  <c r="J49" i="1"/>
  <c r="K49" i="1" s="1"/>
  <c r="J50" i="1"/>
  <c r="K50" i="1" s="1"/>
  <c r="J51" i="1"/>
  <c r="K51" i="1" s="1"/>
  <c r="J52" i="1"/>
  <c r="K52" i="1" s="1"/>
  <c r="J53" i="1"/>
  <c r="J54" i="1"/>
  <c r="J55" i="1"/>
  <c r="J56" i="1"/>
  <c r="J57" i="1"/>
  <c r="J58" i="1"/>
  <c r="J59" i="1"/>
  <c r="J60" i="1"/>
  <c r="J61" i="1"/>
  <c r="J62" i="1"/>
  <c r="J63" i="1"/>
  <c r="J64" i="1"/>
  <c r="K64" i="1" s="1"/>
  <c r="J65" i="1"/>
  <c r="K65" i="1" s="1"/>
  <c r="J66" i="1"/>
  <c r="K66" i="1" s="1"/>
  <c r="J67" i="1"/>
  <c r="K67" i="1" s="1"/>
  <c r="J68" i="1"/>
  <c r="K68" i="1" s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K89" i="1" s="1"/>
  <c r="J90" i="1"/>
  <c r="K90" i="1" s="1"/>
  <c r="J91" i="1"/>
  <c r="K91" i="1" s="1"/>
  <c r="J92" i="1"/>
  <c r="J93" i="1"/>
  <c r="J94" i="1"/>
  <c r="J95" i="1"/>
  <c r="J96" i="1"/>
  <c r="K96" i="1" s="1"/>
  <c r="J97" i="1"/>
  <c r="K97" i="1" s="1"/>
  <c r="J98" i="1"/>
  <c r="K98" i="1" s="1"/>
  <c r="J99" i="1"/>
  <c r="K99" i="1" s="1"/>
  <c r="J100" i="1"/>
  <c r="K100" i="1" s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K113" i="1" s="1"/>
  <c r="J114" i="1"/>
  <c r="K114" i="1" s="1"/>
  <c r="J115" i="1"/>
  <c r="K115" i="1" s="1"/>
  <c r="J116" i="1"/>
  <c r="K116" i="1" s="1"/>
  <c r="J117" i="1"/>
  <c r="J118" i="1"/>
  <c r="J119" i="1"/>
  <c r="J120" i="1"/>
  <c r="J121" i="1"/>
  <c r="J122" i="1"/>
  <c r="K122" i="1" s="1"/>
  <c r="J123" i="1"/>
  <c r="K123" i="1" s="1"/>
  <c r="J124" i="1"/>
  <c r="J125" i="1"/>
  <c r="J126" i="1"/>
  <c r="J127" i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J134" i="1"/>
  <c r="J135" i="1"/>
  <c r="J136" i="1"/>
  <c r="J137" i="1"/>
  <c r="J138" i="1"/>
  <c r="J139" i="1"/>
  <c r="K139" i="1" s="1"/>
  <c r="J140" i="1"/>
  <c r="K140" i="1" s="1"/>
  <c r="J141" i="1"/>
  <c r="J142" i="1"/>
  <c r="J143" i="1"/>
  <c r="J144" i="1"/>
  <c r="J145" i="1"/>
  <c r="J146" i="1"/>
  <c r="K146" i="1" s="1"/>
  <c r="J147" i="1"/>
  <c r="K147" i="1" s="1"/>
  <c r="J148" i="1"/>
  <c r="K148" i="1" s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K163" i="1" s="1"/>
  <c r="J164" i="1"/>
  <c r="K164" i="1" s="1"/>
  <c r="J165" i="1"/>
  <c r="J166" i="1"/>
  <c r="J167" i="1"/>
  <c r="J168" i="1"/>
  <c r="J169" i="1"/>
  <c r="J170" i="1"/>
  <c r="J171" i="1"/>
  <c r="J172" i="1"/>
  <c r="J173" i="1"/>
  <c r="J174" i="1"/>
  <c r="J175" i="1"/>
  <c r="J176" i="1"/>
  <c r="K176" i="1" s="1"/>
  <c r="J177" i="1"/>
  <c r="K177" i="1" s="1"/>
  <c r="J178" i="1"/>
  <c r="K178" i="1" s="1"/>
  <c r="J5" i="1"/>
  <c r="I6" i="1"/>
  <c r="K6" i="1" s="1"/>
  <c r="I7" i="1"/>
  <c r="K7" i="1" s="1"/>
  <c r="I8" i="1"/>
  <c r="I9" i="1"/>
  <c r="I10" i="1"/>
  <c r="I11" i="1"/>
  <c r="I12" i="1"/>
  <c r="I13" i="1"/>
  <c r="K13" i="1" s="1"/>
  <c r="I14" i="1"/>
  <c r="I15" i="1"/>
  <c r="I16" i="1"/>
  <c r="I17" i="1"/>
  <c r="I18" i="1"/>
  <c r="I19" i="1"/>
  <c r="I20" i="1"/>
  <c r="I21" i="1"/>
  <c r="I22" i="1"/>
  <c r="K22" i="1" s="1"/>
  <c r="I23" i="1"/>
  <c r="K23" i="1" s="1"/>
  <c r="I24" i="1"/>
  <c r="I25" i="1"/>
  <c r="I26" i="1"/>
  <c r="I27" i="1"/>
  <c r="I28" i="1"/>
  <c r="I29" i="1"/>
  <c r="K29" i="1" s="1"/>
  <c r="I30" i="1"/>
  <c r="I31" i="1"/>
  <c r="I32" i="1"/>
  <c r="I33" i="1"/>
  <c r="I34" i="1"/>
  <c r="I35" i="1"/>
  <c r="I36" i="1"/>
  <c r="I37" i="1"/>
  <c r="I38" i="1"/>
  <c r="K38" i="1" s="1"/>
  <c r="I39" i="1"/>
  <c r="K39" i="1" s="1"/>
  <c r="I40" i="1"/>
  <c r="I41" i="1"/>
  <c r="I42" i="1"/>
  <c r="I43" i="1"/>
  <c r="I44" i="1"/>
  <c r="I45" i="1"/>
  <c r="K45" i="1" s="1"/>
  <c r="I46" i="1"/>
  <c r="I47" i="1"/>
  <c r="I48" i="1"/>
  <c r="I49" i="1"/>
  <c r="I50" i="1"/>
  <c r="I51" i="1"/>
  <c r="I52" i="1"/>
  <c r="I53" i="1"/>
  <c r="I54" i="1"/>
  <c r="K54" i="1" s="1"/>
  <c r="I55" i="1"/>
  <c r="K55" i="1" s="1"/>
  <c r="I56" i="1"/>
  <c r="I57" i="1"/>
  <c r="I58" i="1"/>
  <c r="I59" i="1"/>
  <c r="I60" i="1"/>
  <c r="I61" i="1"/>
  <c r="K61" i="1" s="1"/>
  <c r="I62" i="1"/>
  <c r="I63" i="1"/>
  <c r="I64" i="1"/>
  <c r="I65" i="1"/>
  <c r="I66" i="1"/>
  <c r="I67" i="1"/>
  <c r="I68" i="1"/>
  <c r="I69" i="1"/>
  <c r="I70" i="1"/>
  <c r="K70" i="1" s="1"/>
  <c r="I71" i="1"/>
  <c r="K71" i="1" s="1"/>
  <c r="I72" i="1"/>
  <c r="I73" i="1"/>
  <c r="I74" i="1"/>
  <c r="I75" i="1"/>
  <c r="I76" i="1"/>
  <c r="I77" i="1"/>
  <c r="K77" i="1" s="1"/>
  <c r="I78" i="1"/>
  <c r="I79" i="1"/>
  <c r="I80" i="1"/>
  <c r="I81" i="1"/>
  <c r="I82" i="1"/>
  <c r="I83" i="1"/>
  <c r="I84" i="1"/>
  <c r="I85" i="1"/>
  <c r="I86" i="1"/>
  <c r="K86" i="1" s="1"/>
  <c r="I87" i="1"/>
  <c r="K87" i="1" s="1"/>
  <c r="I88" i="1"/>
  <c r="I89" i="1"/>
  <c r="I90" i="1"/>
  <c r="I91" i="1"/>
  <c r="I92" i="1"/>
  <c r="I93" i="1"/>
  <c r="K93" i="1" s="1"/>
  <c r="I94" i="1"/>
  <c r="I95" i="1"/>
  <c r="I96" i="1"/>
  <c r="I97" i="1"/>
  <c r="I98" i="1"/>
  <c r="I99" i="1"/>
  <c r="I100" i="1"/>
  <c r="I101" i="1"/>
  <c r="I102" i="1"/>
  <c r="K102" i="1" s="1"/>
  <c r="I103" i="1"/>
  <c r="K103" i="1" s="1"/>
  <c r="I104" i="1"/>
  <c r="I105" i="1"/>
  <c r="I106" i="1"/>
  <c r="I107" i="1"/>
  <c r="I108" i="1"/>
  <c r="I109" i="1"/>
  <c r="K109" i="1" s="1"/>
  <c r="I110" i="1"/>
  <c r="I111" i="1"/>
  <c r="I112" i="1"/>
  <c r="I113" i="1"/>
  <c r="I114" i="1"/>
  <c r="I115" i="1"/>
  <c r="I116" i="1"/>
  <c r="I117" i="1"/>
  <c r="I118" i="1"/>
  <c r="K118" i="1" s="1"/>
  <c r="I119" i="1"/>
  <c r="K119" i="1" s="1"/>
  <c r="I120" i="1"/>
  <c r="I121" i="1"/>
  <c r="I122" i="1"/>
  <c r="I123" i="1"/>
  <c r="I124" i="1"/>
  <c r="I125" i="1"/>
  <c r="K125" i="1" s="1"/>
  <c r="I126" i="1"/>
  <c r="I127" i="1"/>
  <c r="I128" i="1"/>
  <c r="I129" i="1"/>
  <c r="I130" i="1"/>
  <c r="I131" i="1"/>
  <c r="I132" i="1"/>
  <c r="I133" i="1"/>
  <c r="I134" i="1"/>
  <c r="K134" i="1" s="1"/>
  <c r="I135" i="1"/>
  <c r="K135" i="1" s="1"/>
  <c r="I136" i="1"/>
  <c r="I137" i="1"/>
  <c r="I138" i="1"/>
  <c r="I139" i="1"/>
  <c r="I140" i="1"/>
  <c r="I141" i="1"/>
  <c r="K141" i="1" s="1"/>
  <c r="I142" i="1"/>
  <c r="I143" i="1"/>
  <c r="I144" i="1"/>
  <c r="I145" i="1"/>
  <c r="I146" i="1"/>
  <c r="I147" i="1"/>
  <c r="I148" i="1"/>
  <c r="I149" i="1"/>
  <c r="I150" i="1"/>
  <c r="K150" i="1" s="1"/>
  <c r="I151" i="1"/>
  <c r="K151" i="1" s="1"/>
  <c r="I152" i="1"/>
  <c r="I153" i="1"/>
  <c r="I154" i="1"/>
  <c r="I155" i="1"/>
  <c r="I156" i="1"/>
  <c r="I157" i="1"/>
  <c r="K157" i="1" s="1"/>
  <c r="I158" i="1"/>
  <c r="I159" i="1"/>
  <c r="I160" i="1"/>
  <c r="I161" i="1"/>
  <c r="I162" i="1"/>
  <c r="I163" i="1"/>
  <c r="I164" i="1"/>
  <c r="I165" i="1"/>
  <c r="I166" i="1"/>
  <c r="K166" i="1" s="1"/>
  <c r="I167" i="1"/>
  <c r="K167" i="1" s="1"/>
  <c r="I168" i="1"/>
  <c r="I169" i="1"/>
  <c r="I170" i="1"/>
  <c r="I171" i="1"/>
  <c r="I172" i="1"/>
  <c r="I173" i="1"/>
  <c r="K173" i="1" s="1"/>
  <c r="I174" i="1"/>
  <c r="I175" i="1"/>
  <c r="I176" i="1"/>
  <c r="I177" i="1"/>
  <c r="I178" i="1"/>
  <c r="K8" i="1"/>
  <c r="K9" i="1"/>
  <c r="K10" i="1"/>
  <c r="K24" i="1"/>
  <c r="K25" i="1"/>
  <c r="K26" i="1"/>
  <c r="K27" i="1"/>
  <c r="K28" i="1"/>
  <c r="K32" i="1"/>
  <c r="K33" i="1"/>
  <c r="K34" i="1"/>
  <c r="K40" i="1"/>
  <c r="K41" i="1"/>
  <c r="K42" i="1"/>
  <c r="K43" i="1"/>
  <c r="K44" i="1"/>
  <c r="K56" i="1"/>
  <c r="K57" i="1"/>
  <c r="K58" i="1"/>
  <c r="K59" i="1"/>
  <c r="K60" i="1"/>
  <c r="K72" i="1"/>
  <c r="K73" i="1"/>
  <c r="K74" i="1"/>
  <c r="K75" i="1"/>
  <c r="K76" i="1"/>
  <c r="K80" i="1"/>
  <c r="K81" i="1"/>
  <c r="K82" i="1"/>
  <c r="K83" i="1"/>
  <c r="K84" i="1"/>
  <c r="K88" i="1"/>
  <c r="K92" i="1"/>
  <c r="K104" i="1"/>
  <c r="K105" i="1"/>
  <c r="K106" i="1"/>
  <c r="K107" i="1"/>
  <c r="K108" i="1"/>
  <c r="K112" i="1"/>
  <c r="K120" i="1"/>
  <c r="K121" i="1"/>
  <c r="K124" i="1"/>
  <c r="K136" i="1"/>
  <c r="K137" i="1"/>
  <c r="K138" i="1"/>
  <c r="K152" i="1"/>
  <c r="K153" i="1"/>
  <c r="K154" i="1"/>
  <c r="K155" i="1"/>
  <c r="K156" i="1"/>
  <c r="K160" i="1"/>
  <c r="K161" i="1"/>
  <c r="K162" i="1"/>
  <c r="K168" i="1"/>
  <c r="K169" i="1"/>
  <c r="K170" i="1"/>
  <c r="K171" i="1"/>
  <c r="K172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5" i="1"/>
  <c r="K117" i="1" l="1"/>
  <c r="K37" i="1"/>
  <c r="K127" i="1"/>
  <c r="K79" i="1"/>
  <c r="K15" i="1"/>
  <c r="K133" i="1"/>
  <c r="K159" i="1"/>
  <c r="K143" i="1"/>
  <c r="K111" i="1"/>
  <c r="K95" i="1"/>
  <c r="K63" i="1"/>
  <c r="K47" i="1"/>
  <c r="K31" i="1"/>
  <c r="K174" i="1"/>
  <c r="K158" i="1"/>
  <c r="K142" i="1"/>
  <c r="K126" i="1"/>
  <c r="K110" i="1"/>
  <c r="K94" i="1"/>
  <c r="K78" i="1"/>
  <c r="K62" i="1"/>
  <c r="K46" i="1"/>
  <c r="K14" i="1"/>
  <c r="K165" i="1"/>
  <c r="K69" i="1"/>
  <c r="K85" i="1"/>
  <c r="K145" i="1"/>
  <c r="K144" i="1"/>
  <c r="K16" i="1"/>
  <c r="K101" i="1"/>
  <c r="K21" i="1"/>
  <c r="K17" i="1"/>
  <c r="K149" i="1"/>
  <c r="K53" i="1"/>
  <c r="K5" i="1"/>
  <c r="M5" i="1" s="1"/>
  <c r="K175" i="1"/>
  <c r="K30" i="1"/>
</calcChain>
</file>

<file path=xl/sharedStrings.xml><?xml version="1.0" encoding="utf-8"?>
<sst xmlns="http://schemas.openxmlformats.org/spreadsheetml/2006/main" count="19" uniqueCount="17">
  <si>
    <t>Frame</t>
  </si>
  <si>
    <t>Time</t>
  </si>
  <si>
    <t>LimitAngle1</t>
  </si>
  <si>
    <t xml:space="preserve">Ref. Coordinate System: </t>
  </si>
  <si>
    <t>Concentric12</t>
  </si>
  <si>
    <t>Concentric19</t>
  </si>
  <si>
    <t>Outer wheel  angle (deg)</t>
  </si>
  <si>
    <t>Inner Angle (deg)</t>
  </si>
  <si>
    <t>Steering Angle (deg)</t>
  </si>
  <si>
    <t>vehicale length</t>
  </si>
  <si>
    <t>b</t>
  </si>
  <si>
    <t>R_h_outer</t>
  </si>
  <si>
    <t>R_h_inner</t>
  </si>
  <si>
    <t>Difference</t>
  </si>
  <si>
    <t>Avg dis to center of rotation from the b center</t>
  </si>
  <si>
    <t>Steering angle</t>
  </si>
  <si>
    <t>Error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</si>
</sst>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NumberFormat="1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Plot14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Sheet1!$C$2:$C$3</c:f>
              <c:strCache>
                <c:ptCount val="2"/>
                <c:pt idx="0">
                  <c:v>LimitAngle1</c:v>
                </c:pt>
                <c:pt idx="1">
                  <c:v>Steering Angle (deg)</c:v>
                </c:pt>
              </c:strCache>
            </c:strRef>
          </c:tx>
          <c:xVal>
            <c:strRef>
              <c:f>Sheet1!$B$4:$B$178</c:f>
              <c:strCache>
                <c:ptCount val="175"/>
                <c:pt idx="0">
                  <c:v>Time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0.199</c:v>
                </c:pt>
                <c:pt idx="7">
                  <c:v>0.239</c:v>
                </c:pt>
                <c:pt idx="8">
                  <c:v>0.279</c:v>
                </c:pt>
                <c:pt idx="9">
                  <c:v>0.319</c:v>
                </c:pt>
                <c:pt idx="10">
                  <c:v>0.359</c:v>
                </c:pt>
                <c:pt idx="11">
                  <c:v>0.399</c:v>
                </c:pt>
                <c:pt idx="12">
                  <c:v>0.439</c:v>
                </c:pt>
                <c:pt idx="13">
                  <c:v>0.479</c:v>
                </c:pt>
                <c:pt idx="14">
                  <c:v>0.518</c:v>
                </c:pt>
                <c:pt idx="15">
                  <c:v>0.558</c:v>
                </c:pt>
                <c:pt idx="16">
                  <c:v>0.598</c:v>
                </c:pt>
                <c:pt idx="17">
                  <c:v>0.638</c:v>
                </c:pt>
                <c:pt idx="18">
                  <c:v>0.678</c:v>
                </c:pt>
                <c:pt idx="19">
                  <c:v>0.718</c:v>
                </c:pt>
                <c:pt idx="20">
                  <c:v>0.758</c:v>
                </c:pt>
                <c:pt idx="21">
                  <c:v>0.798</c:v>
                </c:pt>
                <c:pt idx="22">
                  <c:v>0.838</c:v>
                </c:pt>
                <c:pt idx="23">
                  <c:v>0.877</c:v>
                </c:pt>
                <c:pt idx="24">
                  <c:v>0.917</c:v>
                </c:pt>
                <c:pt idx="25">
                  <c:v>0.957</c:v>
                </c:pt>
                <c:pt idx="26">
                  <c:v>0.997</c:v>
                </c:pt>
                <c:pt idx="27">
                  <c:v>1.037</c:v>
                </c:pt>
                <c:pt idx="28">
                  <c:v>1.077</c:v>
                </c:pt>
                <c:pt idx="29">
                  <c:v>1.117</c:v>
                </c:pt>
                <c:pt idx="30">
                  <c:v>1.157</c:v>
                </c:pt>
                <c:pt idx="31">
                  <c:v>1.197</c:v>
                </c:pt>
                <c:pt idx="32">
                  <c:v>1.236</c:v>
                </c:pt>
                <c:pt idx="33">
                  <c:v>1.276</c:v>
                </c:pt>
                <c:pt idx="34">
                  <c:v>1.316</c:v>
                </c:pt>
                <c:pt idx="35">
                  <c:v>1.356</c:v>
                </c:pt>
                <c:pt idx="36">
                  <c:v>1.396</c:v>
                </c:pt>
                <c:pt idx="37">
                  <c:v>1.436</c:v>
                </c:pt>
                <c:pt idx="38">
                  <c:v>1.476</c:v>
                </c:pt>
                <c:pt idx="39">
                  <c:v>1.516</c:v>
                </c:pt>
                <c:pt idx="40">
                  <c:v>1.555</c:v>
                </c:pt>
                <c:pt idx="41">
                  <c:v>1.595</c:v>
                </c:pt>
                <c:pt idx="42">
                  <c:v>1.635</c:v>
                </c:pt>
                <c:pt idx="43">
                  <c:v>1.675</c:v>
                </c:pt>
                <c:pt idx="44">
                  <c:v>1.715</c:v>
                </c:pt>
                <c:pt idx="45">
                  <c:v>1.755</c:v>
                </c:pt>
                <c:pt idx="46">
                  <c:v>1.795</c:v>
                </c:pt>
                <c:pt idx="47">
                  <c:v>1.835</c:v>
                </c:pt>
                <c:pt idx="48">
                  <c:v>1.875</c:v>
                </c:pt>
                <c:pt idx="49">
                  <c:v>1.914</c:v>
                </c:pt>
                <c:pt idx="50">
                  <c:v>1.954</c:v>
                </c:pt>
                <c:pt idx="51">
                  <c:v>1.994</c:v>
                </c:pt>
                <c:pt idx="52">
                  <c:v>2.034</c:v>
                </c:pt>
                <c:pt idx="53">
                  <c:v>2.074</c:v>
                </c:pt>
                <c:pt idx="54">
                  <c:v>2.114</c:v>
                </c:pt>
                <c:pt idx="55">
                  <c:v>2.154</c:v>
                </c:pt>
                <c:pt idx="56">
                  <c:v>2.194</c:v>
                </c:pt>
                <c:pt idx="57">
                  <c:v>2.234</c:v>
                </c:pt>
                <c:pt idx="58">
                  <c:v>2.273</c:v>
                </c:pt>
                <c:pt idx="59">
                  <c:v>2.313</c:v>
                </c:pt>
                <c:pt idx="60">
                  <c:v>2.353</c:v>
                </c:pt>
                <c:pt idx="61">
                  <c:v>2.393</c:v>
                </c:pt>
                <c:pt idx="62">
                  <c:v>2.433</c:v>
                </c:pt>
                <c:pt idx="63">
                  <c:v>2.473</c:v>
                </c:pt>
                <c:pt idx="64">
                  <c:v>2.513</c:v>
                </c:pt>
                <c:pt idx="65">
                  <c:v>2.553</c:v>
                </c:pt>
                <c:pt idx="66">
                  <c:v>2.592</c:v>
                </c:pt>
                <c:pt idx="67">
                  <c:v>2.632</c:v>
                </c:pt>
                <c:pt idx="68">
                  <c:v>2.672</c:v>
                </c:pt>
                <c:pt idx="69">
                  <c:v>2.712</c:v>
                </c:pt>
                <c:pt idx="70">
                  <c:v>2.752</c:v>
                </c:pt>
                <c:pt idx="71">
                  <c:v>2.792</c:v>
                </c:pt>
                <c:pt idx="72">
                  <c:v>2.832</c:v>
                </c:pt>
                <c:pt idx="73">
                  <c:v>2.872</c:v>
                </c:pt>
                <c:pt idx="74">
                  <c:v>2.912</c:v>
                </c:pt>
                <c:pt idx="75">
                  <c:v>2.951</c:v>
                </c:pt>
                <c:pt idx="76">
                  <c:v>2.991</c:v>
                </c:pt>
                <c:pt idx="77">
                  <c:v>3.031</c:v>
                </c:pt>
                <c:pt idx="78">
                  <c:v>3.071</c:v>
                </c:pt>
                <c:pt idx="79">
                  <c:v>3.111</c:v>
                </c:pt>
                <c:pt idx="80">
                  <c:v>3.151</c:v>
                </c:pt>
                <c:pt idx="81">
                  <c:v>3.191</c:v>
                </c:pt>
                <c:pt idx="82">
                  <c:v>3.231</c:v>
                </c:pt>
                <c:pt idx="83">
                  <c:v>3.271</c:v>
                </c:pt>
                <c:pt idx="84">
                  <c:v>3.310</c:v>
                </c:pt>
                <c:pt idx="85">
                  <c:v>3.350</c:v>
                </c:pt>
                <c:pt idx="86">
                  <c:v>3.390</c:v>
                </c:pt>
                <c:pt idx="87">
                  <c:v>3.430</c:v>
                </c:pt>
                <c:pt idx="88">
                  <c:v>3.470</c:v>
                </c:pt>
                <c:pt idx="89">
                  <c:v>3.510</c:v>
                </c:pt>
                <c:pt idx="90">
                  <c:v>3.550</c:v>
                </c:pt>
                <c:pt idx="91">
                  <c:v>3.590</c:v>
                </c:pt>
                <c:pt idx="92">
                  <c:v>3.629</c:v>
                </c:pt>
                <c:pt idx="93">
                  <c:v>3.669</c:v>
                </c:pt>
                <c:pt idx="94">
                  <c:v>3.709</c:v>
                </c:pt>
                <c:pt idx="95">
                  <c:v>3.749</c:v>
                </c:pt>
                <c:pt idx="96">
                  <c:v>3.789</c:v>
                </c:pt>
                <c:pt idx="97">
                  <c:v>3.829</c:v>
                </c:pt>
                <c:pt idx="98">
                  <c:v>3.869</c:v>
                </c:pt>
                <c:pt idx="99">
                  <c:v>3.909</c:v>
                </c:pt>
                <c:pt idx="100">
                  <c:v>3.949</c:v>
                </c:pt>
                <c:pt idx="101">
                  <c:v>3.988</c:v>
                </c:pt>
                <c:pt idx="102">
                  <c:v>4.028</c:v>
                </c:pt>
                <c:pt idx="103">
                  <c:v>4.068</c:v>
                </c:pt>
                <c:pt idx="104">
                  <c:v>4.108</c:v>
                </c:pt>
                <c:pt idx="105">
                  <c:v>4.148</c:v>
                </c:pt>
                <c:pt idx="106">
                  <c:v>4.188</c:v>
                </c:pt>
                <c:pt idx="107">
                  <c:v>4.228</c:v>
                </c:pt>
                <c:pt idx="108">
                  <c:v>4.268</c:v>
                </c:pt>
                <c:pt idx="109">
                  <c:v>4.308</c:v>
                </c:pt>
                <c:pt idx="110">
                  <c:v>4.347</c:v>
                </c:pt>
                <c:pt idx="111">
                  <c:v>4.387</c:v>
                </c:pt>
                <c:pt idx="112">
                  <c:v>4.427</c:v>
                </c:pt>
                <c:pt idx="113">
                  <c:v>4.467</c:v>
                </c:pt>
                <c:pt idx="114">
                  <c:v>4.507</c:v>
                </c:pt>
                <c:pt idx="115">
                  <c:v>4.547</c:v>
                </c:pt>
                <c:pt idx="116">
                  <c:v>4.587</c:v>
                </c:pt>
                <c:pt idx="117">
                  <c:v>4.627</c:v>
                </c:pt>
                <c:pt idx="118">
                  <c:v>4.666</c:v>
                </c:pt>
                <c:pt idx="119">
                  <c:v>4.706</c:v>
                </c:pt>
                <c:pt idx="120">
                  <c:v>4.746</c:v>
                </c:pt>
                <c:pt idx="121">
                  <c:v>4.786</c:v>
                </c:pt>
                <c:pt idx="122">
                  <c:v>4.826</c:v>
                </c:pt>
                <c:pt idx="123">
                  <c:v>4.866</c:v>
                </c:pt>
                <c:pt idx="124">
                  <c:v>4.906</c:v>
                </c:pt>
                <c:pt idx="125">
                  <c:v>4.946</c:v>
                </c:pt>
                <c:pt idx="126">
                  <c:v>4.986</c:v>
                </c:pt>
                <c:pt idx="127">
                  <c:v>5.025</c:v>
                </c:pt>
                <c:pt idx="128">
                  <c:v>5.065</c:v>
                </c:pt>
                <c:pt idx="129">
                  <c:v>5.105</c:v>
                </c:pt>
                <c:pt idx="130">
                  <c:v>5.145</c:v>
                </c:pt>
                <c:pt idx="131">
                  <c:v>5.185</c:v>
                </c:pt>
                <c:pt idx="132">
                  <c:v>5.225</c:v>
                </c:pt>
                <c:pt idx="133">
                  <c:v>5.265</c:v>
                </c:pt>
                <c:pt idx="134">
                  <c:v>5.305</c:v>
                </c:pt>
                <c:pt idx="135">
                  <c:v>5.345</c:v>
                </c:pt>
                <c:pt idx="136">
                  <c:v>5.384</c:v>
                </c:pt>
                <c:pt idx="137">
                  <c:v>5.424</c:v>
                </c:pt>
                <c:pt idx="138">
                  <c:v>5.464</c:v>
                </c:pt>
                <c:pt idx="139">
                  <c:v>5.504</c:v>
                </c:pt>
                <c:pt idx="140">
                  <c:v>5.544</c:v>
                </c:pt>
                <c:pt idx="141">
                  <c:v>5.584</c:v>
                </c:pt>
                <c:pt idx="142">
                  <c:v>5.624</c:v>
                </c:pt>
                <c:pt idx="143">
                  <c:v>5.664</c:v>
                </c:pt>
                <c:pt idx="144">
                  <c:v>5.703</c:v>
                </c:pt>
                <c:pt idx="145">
                  <c:v>5.743</c:v>
                </c:pt>
                <c:pt idx="146">
                  <c:v>5.783</c:v>
                </c:pt>
                <c:pt idx="147">
                  <c:v>5.823</c:v>
                </c:pt>
                <c:pt idx="148">
                  <c:v>5.863</c:v>
                </c:pt>
                <c:pt idx="149">
                  <c:v>5.903</c:v>
                </c:pt>
                <c:pt idx="150">
                  <c:v>5.943</c:v>
                </c:pt>
                <c:pt idx="151">
                  <c:v>5.983</c:v>
                </c:pt>
                <c:pt idx="152">
                  <c:v>6.023</c:v>
                </c:pt>
                <c:pt idx="153">
                  <c:v>6.062</c:v>
                </c:pt>
                <c:pt idx="154">
                  <c:v>6.102</c:v>
                </c:pt>
                <c:pt idx="155">
                  <c:v>6.142</c:v>
                </c:pt>
                <c:pt idx="156">
                  <c:v>6.182</c:v>
                </c:pt>
                <c:pt idx="157">
                  <c:v>6.222</c:v>
                </c:pt>
                <c:pt idx="158">
                  <c:v>6.262</c:v>
                </c:pt>
                <c:pt idx="159">
                  <c:v>6.302</c:v>
                </c:pt>
                <c:pt idx="160">
                  <c:v>6.342</c:v>
                </c:pt>
                <c:pt idx="161">
                  <c:v>6.382</c:v>
                </c:pt>
                <c:pt idx="162">
                  <c:v>6.421</c:v>
                </c:pt>
                <c:pt idx="163">
                  <c:v>6.461</c:v>
                </c:pt>
                <c:pt idx="164">
                  <c:v>6.501</c:v>
                </c:pt>
                <c:pt idx="165">
                  <c:v>6.541</c:v>
                </c:pt>
                <c:pt idx="166">
                  <c:v>6.581</c:v>
                </c:pt>
                <c:pt idx="167">
                  <c:v>6.621</c:v>
                </c:pt>
                <c:pt idx="168">
                  <c:v>6.661</c:v>
                </c:pt>
                <c:pt idx="169">
                  <c:v>6.701</c:v>
                </c:pt>
                <c:pt idx="170">
                  <c:v>6.740</c:v>
                </c:pt>
                <c:pt idx="171">
                  <c:v>6.780</c:v>
                </c:pt>
                <c:pt idx="172">
                  <c:v>6.820</c:v>
                </c:pt>
                <c:pt idx="173">
                  <c:v>6.860</c:v>
                </c:pt>
                <c:pt idx="174">
                  <c:v>6.900</c:v>
                </c:pt>
              </c:strCache>
            </c:strRef>
          </c:xVal>
          <c:yVal>
            <c:numRef>
              <c:f>Sheet1!$C$4:$C$178</c:f>
              <c:numCache>
                <c:formatCode>0.0000E+00</c:formatCode>
                <c:ptCount val="175"/>
                <c:pt idx="0" formatCode="General">
                  <c:v>0</c:v>
                </c:pt>
                <c:pt idx="1">
                  <c:v>-1.2762365126816366E-14</c:v>
                </c:pt>
                <c:pt idx="2">
                  <c:v>0.23930635838150632</c:v>
                </c:pt>
                <c:pt idx="3">
                  <c:v>0.4786127167629875</c:v>
                </c:pt>
                <c:pt idx="4">
                  <c:v>0.71791907514446851</c:v>
                </c:pt>
                <c:pt idx="5">
                  <c:v>0.95722543352594902</c:v>
                </c:pt>
                <c:pt idx="6">
                  <c:v>1.196531791907443</c:v>
                </c:pt>
                <c:pt idx="7">
                  <c:v>1.4358381502889117</c:v>
                </c:pt>
                <c:pt idx="8">
                  <c:v>1.675144508670392</c:v>
                </c:pt>
                <c:pt idx="9">
                  <c:v>1.914450867051873</c:v>
                </c:pt>
                <c:pt idx="10">
                  <c:v>2.1537572254333535</c:v>
                </c:pt>
                <c:pt idx="11">
                  <c:v>2.3930635838148477</c:v>
                </c:pt>
                <c:pt idx="12">
                  <c:v>2.6323699421963163</c:v>
                </c:pt>
                <c:pt idx="13">
                  <c:v>2.8716763005777968</c:v>
                </c:pt>
                <c:pt idx="14">
                  <c:v>3.1109826589592777</c:v>
                </c:pt>
                <c:pt idx="15">
                  <c:v>3.3502890173407591</c:v>
                </c:pt>
                <c:pt idx="16">
                  <c:v>3.589595375722253</c:v>
                </c:pt>
                <c:pt idx="17">
                  <c:v>3.8289017341037339</c:v>
                </c:pt>
                <c:pt idx="18">
                  <c:v>4.0682080924852011</c:v>
                </c:pt>
                <c:pt idx="19">
                  <c:v>4.3075144508666821</c:v>
                </c:pt>
                <c:pt idx="20">
                  <c:v>4.5468208092481639</c:v>
                </c:pt>
                <c:pt idx="21">
                  <c:v>4.7861271676296431</c:v>
                </c:pt>
                <c:pt idx="22">
                  <c:v>5.0254335260111382</c:v>
                </c:pt>
                <c:pt idx="23">
                  <c:v>5.2647398843926059</c:v>
                </c:pt>
                <c:pt idx="24">
                  <c:v>5.5040462427740868</c:v>
                </c:pt>
                <c:pt idx="25">
                  <c:v>5.7433526011555678</c:v>
                </c:pt>
                <c:pt idx="26">
                  <c:v>5.9826589595370487</c:v>
                </c:pt>
                <c:pt idx="27">
                  <c:v>6.221965317918543</c:v>
                </c:pt>
                <c:pt idx="28">
                  <c:v>6.4612716763000106</c:v>
                </c:pt>
                <c:pt idx="29">
                  <c:v>6.7005780346820778</c:v>
                </c:pt>
                <c:pt idx="30">
                  <c:v>6.9398843930635703</c:v>
                </c:pt>
                <c:pt idx="31">
                  <c:v>7.1791907514450504</c:v>
                </c:pt>
                <c:pt idx="32">
                  <c:v>7.418497109826558</c:v>
                </c:pt>
                <c:pt idx="33">
                  <c:v>7.6578034682080771</c:v>
                </c:pt>
                <c:pt idx="34">
                  <c:v>7.8971098265896069</c:v>
                </c:pt>
                <c:pt idx="35">
                  <c:v>8.1364161849711394</c:v>
                </c:pt>
                <c:pt idx="36">
                  <c:v>8.3757225433526852</c:v>
                </c:pt>
                <c:pt idx="37">
                  <c:v>8.6150289017342683</c:v>
                </c:pt>
                <c:pt idx="38">
                  <c:v>8.8543352601158531</c:v>
                </c:pt>
                <c:pt idx="39">
                  <c:v>9.0936416184974327</c:v>
                </c:pt>
                <c:pt idx="40">
                  <c:v>9.3329479768790282</c:v>
                </c:pt>
                <c:pt idx="41">
                  <c:v>9.5722543352606646</c:v>
                </c:pt>
                <c:pt idx="42">
                  <c:v>9.8115606936415816</c:v>
                </c:pt>
                <c:pt idx="43">
                  <c:v>10.050867052022886</c:v>
                </c:pt>
                <c:pt idx="44">
                  <c:v>10.290173410404609</c:v>
                </c:pt>
                <c:pt idx="45">
                  <c:v>10.529479768786116</c:v>
                </c:pt>
                <c:pt idx="46">
                  <c:v>10.768786127167099</c:v>
                </c:pt>
                <c:pt idx="47">
                  <c:v>11.008092485549113</c:v>
                </c:pt>
                <c:pt idx="48">
                  <c:v>11.24739884393062</c:v>
                </c:pt>
                <c:pt idx="49">
                  <c:v>11.486705202311605</c:v>
                </c:pt>
                <c:pt idx="50">
                  <c:v>11.726011560693623</c:v>
                </c:pt>
                <c:pt idx="51">
                  <c:v>11.965317919075126</c:v>
                </c:pt>
                <c:pt idx="52">
                  <c:v>12.204624277456084</c:v>
                </c:pt>
                <c:pt idx="53">
                  <c:v>12.443930635838139</c:v>
                </c:pt>
                <c:pt idx="54">
                  <c:v>12.683236994219635</c:v>
                </c:pt>
                <c:pt idx="55">
                  <c:v>12.92254335260114</c:v>
                </c:pt>
                <c:pt idx="56">
                  <c:v>13.161849710982759</c:v>
                </c:pt>
                <c:pt idx="57">
                  <c:v>13.40115606936452</c:v>
                </c:pt>
                <c:pt idx="58">
                  <c:v>13.640462427746119</c:v>
                </c:pt>
                <c:pt idx="59">
                  <c:v>13.879768786127139</c:v>
                </c:pt>
                <c:pt idx="60">
                  <c:v>14.119075144508647</c:v>
                </c:pt>
                <c:pt idx="61">
                  <c:v>14.358381502890587</c:v>
                </c:pt>
                <c:pt idx="62">
                  <c:v>14.59768786127165</c:v>
                </c:pt>
                <c:pt idx="63">
                  <c:v>14.836994219653141</c:v>
                </c:pt>
                <c:pt idx="64">
                  <c:v>15.076300578035038</c:v>
                </c:pt>
                <c:pt idx="65">
                  <c:v>15.315606936416151</c:v>
                </c:pt>
                <c:pt idx="66">
                  <c:v>15.554913294797661</c:v>
                </c:pt>
                <c:pt idx="67">
                  <c:v>15.794219653179574</c:v>
                </c:pt>
                <c:pt idx="68">
                  <c:v>16.03352601156066</c:v>
                </c:pt>
                <c:pt idx="69">
                  <c:v>16.272832369942154</c:v>
                </c:pt>
                <c:pt idx="70">
                  <c:v>16.51213872832405</c:v>
                </c:pt>
                <c:pt idx="71">
                  <c:v>16.751445086705168</c:v>
                </c:pt>
                <c:pt idx="72">
                  <c:v>16.990751445086662</c:v>
                </c:pt>
                <c:pt idx="73">
                  <c:v>17.230057803468608</c:v>
                </c:pt>
                <c:pt idx="74">
                  <c:v>17.469364161849672</c:v>
                </c:pt>
                <c:pt idx="75">
                  <c:v>17.708670520231166</c:v>
                </c:pt>
                <c:pt idx="76">
                  <c:v>17.947976878613133</c:v>
                </c:pt>
                <c:pt idx="77">
                  <c:v>18.187283236994176</c:v>
                </c:pt>
                <c:pt idx="78">
                  <c:v>18.426589595375685</c:v>
                </c:pt>
                <c:pt idx="79">
                  <c:v>18.665895953757651</c:v>
                </c:pt>
                <c:pt idx="80">
                  <c:v>18.905202312138684</c:v>
                </c:pt>
                <c:pt idx="81">
                  <c:v>19.144508670520189</c:v>
                </c:pt>
                <c:pt idx="82">
                  <c:v>19.383815028902209</c:v>
                </c:pt>
                <c:pt idx="83">
                  <c:v>19.623121387283188</c:v>
                </c:pt>
                <c:pt idx="84">
                  <c:v>19.862427745664682</c:v>
                </c:pt>
                <c:pt idx="85">
                  <c:v>20.101734104046713</c:v>
                </c:pt>
                <c:pt idx="86">
                  <c:v>20.341040462427713</c:v>
                </c:pt>
                <c:pt idx="87">
                  <c:v>20.580346820809194</c:v>
                </c:pt>
                <c:pt idx="88">
                  <c:v>20.819653179191182</c:v>
                </c:pt>
                <c:pt idx="89">
                  <c:v>21.058959537572214</c:v>
                </c:pt>
                <c:pt idx="90">
                  <c:v>21.298265895953701</c:v>
                </c:pt>
                <c:pt idx="91">
                  <c:v>21.5375722543357</c:v>
                </c:pt>
                <c:pt idx="92">
                  <c:v>21.776878612716708</c:v>
                </c:pt>
                <c:pt idx="93">
                  <c:v>22.016184971098205</c:v>
                </c:pt>
                <c:pt idx="94">
                  <c:v>22.255491329480233</c:v>
                </c:pt>
                <c:pt idx="95">
                  <c:v>22.494797687861205</c:v>
                </c:pt>
                <c:pt idx="96">
                  <c:v>22.734104046242724</c:v>
                </c:pt>
                <c:pt idx="97">
                  <c:v>22.973410404624218</c:v>
                </c:pt>
                <c:pt idx="98">
                  <c:v>23.212716763005456</c:v>
                </c:pt>
                <c:pt idx="99">
                  <c:v>23.452023121387217</c:v>
                </c:pt>
                <c:pt idx="100">
                  <c:v>23.691329479768736</c:v>
                </c:pt>
                <c:pt idx="101">
                  <c:v>23.930635838150227</c:v>
                </c:pt>
                <c:pt idx="102">
                  <c:v>24.16994219653175</c:v>
                </c:pt>
                <c:pt idx="103">
                  <c:v>24.409248554913383</c:v>
                </c:pt>
                <c:pt idx="104">
                  <c:v>24.64855491329476</c:v>
                </c:pt>
                <c:pt idx="105">
                  <c:v>24.887861271676268</c:v>
                </c:pt>
                <c:pt idx="106">
                  <c:v>25.127167630057752</c:v>
                </c:pt>
                <c:pt idx="107">
                  <c:v>25.366473988439278</c:v>
                </c:pt>
                <c:pt idx="108">
                  <c:v>25.605780346820762</c:v>
                </c:pt>
                <c:pt idx="109">
                  <c:v>25.845086705202242</c:v>
                </c:pt>
                <c:pt idx="110">
                  <c:v>26.084393063583779</c:v>
                </c:pt>
                <c:pt idx="111">
                  <c:v>26.323699421965255</c:v>
                </c:pt>
                <c:pt idx="112">
                  <c:v>26.563005780346788</c:v>
                </c:pt>
                <c:pt idx="113">
                  <c:v>26.802312138728297</c:v>
                </c:pt>
                <c:pt idx="114">
                  <c:v>27.041618497109777</c:v>
                </c:pt>
                <c:pt idx="115">
                  <c:v>27.28092485549131</c:v>
                </c:pt>
                <c:pt idx="116">
                  <c:v>27.52023121387279</c:v>
                </c:pt>
                <c:pt idx="117">
                  <c:v>27.759537572254327</c:v>
                </c:pt>
                <c:pt idx="118">
                  <c:v>27.998843930635829</c:v>
                </c:pt>
                <c:pt idx="119">
                  <c:v>28.238150289017312</c:v>
                </c:pt>
                <c:pt idx="120">
                  <c:v>28.477456647398835</c:v>
                </c:pt>
                <c:pt idx="121">
                  <c:v>28.716763005780322</c:v>
                </c:pt>
                <c:pt idx="122">
                  <c:v>28.956069364161852</c:v>
                </c:pt>
                <c:pt idx="123">
                  <c:v>29.195375722543364</c:v>
                </c:pt>
                <c:pt idx="124">
                  <c:v>29.434682080924816</c:v>
                </c:pt>
                <c:pt idx="125">
                  <c:v>29.673988439306346</c:v>
                </c:pt>
                <c:pt idx="126">
                  <c:v>29.913294797687854</c:v>
                </c:pt>
                <c:pt idx="127">
                  <c:v>30.152601156069334</c:v>
                </c:pt>
                <c:pt idx="128">
                  <c:v>30.391907514450864</c:v>
                </c:pt>
                <c:pt idx="129">
                  <c:v>30.631213872832355</c:v>
                </c:pt>
                <c:pt idx="130">
                  <c:v>30.870520231213828</c:v>
                </c:pt>
                <c:pt idx="131">
                  <c:v>31.109826589595386</c:v>
                </c:pt>
                <c:pt idx="132">
                  <c:v>31.349132947976841</c:v>
                </c:pt>
                <c:pt idx="133">
                  <c:v>31.588439306358403</c:v>
                </c:pt>
                <c:pt idx="134">
                  <c:v>31.827745664739879</c:v>
                </c:pt>
                <c:pt idx="135">
                  <c:v>32.067052023121363</c:v>
                </c:pt>
                <c:pt idx="136">
                  <c:v>32.306358381502889</c:v>
                </c:pt>
                <c:pt idx="137">
                  <c:v>32.545664739884373</c:v>
                </c:pt>
                <c:pt idx="138">
                  <c:v>32.784971098265885</c:v>
                </c:pt>
                <c:pt idx="139">
                  <c:v>33.024277456647411</c:v>
                </c:pt>
                <c:pt idx="140">
                  <c:v>33.263583815028895</c:v>
                </c:pt>
                <c:pt idx="141">
                  <c:v>33.502890173410421</c:v>
                </c:pt>
                <c:pt idx="142">
                  <c:v>33.742196531791905</c:v>
                </c:pt>
                <c:pt idx="143">
                  <c:v>33.981502890173388</c:v>
                </c:pt>
                <c:pt idx="144">
                  <c:v>34.22080924855495</c:v>
                </c:pt>
                <c:pt idx="145">
                  <c:v>34.460115606936405</c:v>
                </c:pt>
                <c:pt idx="146">
                  <c:v>34.69942196531796</c:v>
                </c:pt>
                <c:pt idx="147">
                  <c:v>34.938728323699436</c:v>
                </c:pt>
                <c:pt idx="148">
                  <c:v>35.17803468208092</c:v>
                </c:pt>
                <c:pt idx="149">
                  <c:v>35.417341040462453</c:v>
                </c:pt>
                <c:pt idx="150">
                  <c:v>35.656647398843937</c:v>
                </c:pt>
                <c:pt idx="151">
                  <c:v>35.895953757225435</c:v>
                </c:pt>
                <c:pt idx="152">
                  <c:v>36.13526011560694</c:v>
                </c:pt>
                <c:pt idx="153">
                  <c:v>36.37456647398843</c:v>
                </c:pt>
                <c:pt idx="154">
                  <c:v>36.613872832369928</c:v>
                </c:pt>
                <c:pt idx="155">
                  <c:v>36.853179190751462</c:v>
                </c:pt>
                <c:pt idx="156">
                  <c:v>37.092485549132952</c:v>
                </c:pt>
                <c:pt idx="157">
                  <c:v>37.331791907514472</c:v>
                </c:pt>
                <c:pt idx="158">
                  <c:v>37.571098265895955</c:v>
                </c:pt>
                <c:pt idx="159">
                  <c:v>37.810404624277488</c:v>
                </c:pt>
                <c:pt idx="160">
                  <c:v>38.049710982658965</c:v>
                </c:pt>
                <c:pt idx="161">
                  <c:v>38.289017341040442</c:v>
                </c:pt>
                <c:pt idx="162">
                  <c:v>38.528323699421982</c:v>
                </c:pt>
                <c:pt idx="163">
                  <c:v>38.767630057803494</c:v>
                </c:pt>
                <c:pt idx="164">
                  <c:v>39.006936416184999</c:v>
                </c:pt>
                <c:pt idx="165">
                  <c:v>39.246242774566483</c:v>
                </c:pt>
                <c:pt idx="166">
                  <c:v>39.485549132948002</c:v>
                </c:pt>
                <c:pt idx="167">
                  <c:v>39.724855491329485</c:v>
                </c:pt>
                <c:pt idx="168">
                  <c:v>39.964161849710997</c:v>
                </c:pt>
                <c:pt idx="169">
                  <c:v>40.203468208092524</c:v>
                </c:pt>
                <c:pt idx="170">
                  <c:v>40.442774566474029</c:v>
                </c:pt>
                <c:pt idx="171">
                  <c:v>40.682080924855512</c:v>
                </c:pt>
                <c:pt idx="172">
                  <c:v>40.921387283236875</c:v>
                </c:pt>
                <c:pt idx="173">
                  <c:v>41.16069364161855</c:v>
                </c:pt>
                <c:pt idx="174">
                  <c:v>41.399999999999906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20-430C-BBD7-03A7343CD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13824"/>
        <c:axId val="39930624"/>
      </c:scatterChart>
      <c:valAx>
        <c:axId val="39913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30624"/>
        <c:crosses val="autoZero"/>
        <c:crossBetween val="midCat"/>
      </c:valAx>
      <c:valAx>
        <c:axId val="39930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138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Sheet1!$H$6:$H$178</c:f>
              <c:numCache>
                <c:formatCode>0.0000E+00</c:formatCode>
                <c:ptCount val="173"/>
                <c:pt idx="0">
                  <c:v>0.24</c:v>
                </c:pt>
                <c:pt idx="1">
                  <c:v>0.48</c:v>
                </c:pt>
                <c:pt idx="2">
                  <c:v>0.72</c:v>
                </c:pt>
                <c:pt idx="3">
                  <c:v>0.96</c:v>
                </c:pt>
                <c:pt idx="4">
                  <c:v>1.2</c:v>
                </c:pt>
                <c:pt idx="5">
                  <c:v>1.44</c:v>
                </c:pt>
                <c:pt idx="6">
                  <c:v>1.68</c:v>
                </c:pt>
                <c:pt idx="7">
                  <c:v>1.91</c:v>
                </c:pt>
                <c:pt idx="8">
                  <c:v>2.15</c:v>
                </c:pt>
                <c:pt idx="9">
                  <c:v>2.39</c:v>
                </c:pt>
                <c:pt idx="10">
                  <c:v>2.63</c:v>
                </c:pt>
                <c:pt idx="11">
                  <c:v>2.87</c:v>
                </c:pt>
                <c:pt idx="12">
                  <c:v>3.11</c:v>
                </c:pt>
                <c:pt idx="13">
                  <c:v>3.35</c:v>
                </c:pt>
                <c:pt idx="14">
                  <c:v>3.59</c:v>
                </c:pt>
                <c:pt idx="15">
                  <c:v>3.83</c:v>
                </c:pt>
                <c:pt idx="16">
                  <c:v>4.07</c:v>
                </c:pt>
                <c:pt idx="17">
                  <c:v>4.3099999999999996</c:v>
                </c:pt>
                <c:pt idx="18">
                  <c:v>4.55</c:v>
                </c:pt>
                <c:pt idx="19">
                  <c:v>4.79</c:v>
                </c:pt>
                <c:pt idx="20">
                  <c:v>5.03</c:v>
                </c:pt>
                <c:pt idx="21">
                  <c:v>5.26</c:v>
                </c:pt>
                <c:pt idx="22">
                  <c:v>5.5</c:v>
                </c:pt>
                <c:pt idx="23">
                  <c:v>5.74</c:v>
                </c:pt>
                <c:pt idx="24">
                  <c:v>5.98</c:v>
                </c:pt>
                <c:pt idx="25">
                  <c:v>6.22</c:v>
                </c:pt>
                <c:pt idx="26">
                  <c:v>6.46</c:v>
                </c:pt>
                <c:pt idx="27">
                  <c:v>6.7</c:v>
                </c:pt>
                <c:pt idx="28">
                  <c:v>6.94</c:v>
                </c:pt>
                <c:pt idx="29">
                  <c:v>7.18</c:v>
                </c:pt>
                <c:pt idx="30">
                  <c:v>7.42</c:v>
                </c:pt>
                <c:pt idx="31">
                  <c:v>7.66</c:v>
                </c:pt>
                <c:pt idx="32">
                  <c:v>7.9</c:v>
                </c:pt>
                <c:pt idx="33">
                  <c:v>8.14</c:v>
                </c:pt>
                <c:pt idx="34">
                  <c:v>8.3800000000000008</c:v>
                </c:pt>
                <c:pt idx="35">
                  <c:v>8.6199999999999992</c:v>
                </c:pt>
                <c:pt idx="36">
                  <c:v>8.85</c:v>
                </c:pt>
                <c:pt idx="37">
                  <c:v>9.09</c:v>
                </c:pt>
                <c:pt idx="38">
                  <c:v>9.33</c:v>
                </c:pt>
                <c:pt idx="39">
                  <c:v>9.57</c:v>
                </c:pt>
                <c:pt idx="40">
                  <c:v>9.81</c:v>
                </c:pt>
                <c:pt idx="41">
                  <c:v>10.050000000000001</c:v>
                </c:pt>
                <c:pt idx="42">
                  <c:v>10.29</c:v>
                </c:pt>
                <c:pt idx="43">
                  <c:v>10.53</c:v>
                </c:pt>
                <c:pt idx="44">
                  <c:v>10.77</c:v>
                </c:pt>
                <c:pt idx="45">
                  <c:v>11.01</c:v>
                </c:pt>
                <c:pt idx="46">
                  <c:v>11.25</c:v>
                </c:pt>
                <c:pt idx="47">
                  <c:v>11.49</c:v>
                </c:pt>
                <c:pt idx="48">
                  <c:v>11.73</c:v>
                </c:pt>
                <c:pt idx="49">
                  <c:v>11.97</c:v>
                </c:pt>
                <c:pt idx="50">
                  <c:v>12.2</c:v>
                </c:pt>
                <c:pt idx="51">
                  <c:v>12.44</c:v>
                </c:pt>
                <c:pt idx="52">
                  <c:v>12.68</c:v>
                </c:pt>
                <c:pt idx="53">
                  <c:v>12.92</c:v>
                </c:pt>
                <c:pt idx="54">
                  <c:v>13.16</c:v>
                </c:pt>
                <c:pt idx="55">
                  <c:v>13.4</c:v>
                </c:pt>
                <c:pt idx="56">
                  <c:v>13.64</c:v>
                </c:pt>
                <c:pt idx="57">
                  <c:v>13.88</c:v>
                </c:pt>
                <c:pt idx="58">
                  <c:v>14.12</c:v>
                </c:pt>
                <c:pt idx="59">
                  <c:v>14.36</c:v>
                </c:pt>
                <c:pt idx="60">
                  <c:v>14.6</c:v>
                </c:pt>
                <c:pt idx="61">
                  <c:v>14.84</c:v>
                </c:pt>
                <c:pt idx="62">
                  <c:v>15.08</c:v>
                </c:pt>
                <c:pt idx="63">
                  <c:v>15.32</c:v>
                </c:pt>
                <c:pt idx="64">
                  <c:v>15.55</c:v>
                </c:pt>
                <c:pt idx="65">
                  <c:v>15.79</c:v>
                </c:pt>
                <c:pt idx="66">
                  <c:v>16.03</c:v>
                </c:pt>
                <c:pt idx="67">
                  <c:v>16.27</c:v>
                </c:pt>
                <c:pt idx="68">
                  <c:v>16.510000000000002</c:v>
                </c:pt>
                <c:pt idx="69">
                  <c:v>16.75</c:v>
                </c:pt>
                <c:pt idx="70">
                  <c:v>16.989999999999998</c:v>
                </c:pt>
                <c:pt idx="71">
                  <c:v>17.23</c:v>
                </c:pt>
                <c:pt idx="72">
                  <c:v>17.47</c:v>
                </c:pt>
                <c:pt idx="73">
                  <c:v>17.71</c:v>
                </c:pt>
                <c:pt idx="74">
                  <c:v>17.95</c:v>
                </c:pt>
                <c:pt idx="75">
                  <c:v>18.190000000000001</c:v>
                </c:pt>
                <c:pt idx="76">
                  <c:v>18.43</c:v>
                </c:pt>
                <c:pt idx="77">
                  <c:v>18.670000000000002</c:v>
                </c:pt>
                <c:pt idx="78">
                  <c:v>18.91</c:v>
                </c:pt>
                <c:pt idx="79">
                  <c:v>19.14</c:v>
                </c:pt>
                <c:pt idx="80">
                  <c:v>19.38</c:v>
                </c:pt>
                <c:pt idx="81">
                  <c:v>19.62</c:v>
                </c:pt>
                <c:pt idx="82">
                  <c:v>19.86</c:v>
                </c:pt>
                <c:pt idx="83">
                  <c:v>20.100000000000001</c:v>
                </c:pt>
                <c:pt idx="84">
                  <c:v>20.34</c:v>
                </c:pt>
                <c:pt idx="85">
                  <c:v>20.58</c:v>
                </c:pt>
                <c:pt idx="86">
                  <c:v>20.82</c:v>
                </c:pt>
                <c:pt idx="87">
                  <c:v>21.06</c:v>
                </c:pt>
                <c:pt idx="88">
                  <c:v>21.3</c:v>
                </c:pt>
                <c:pt idx="89">
                  <c:v>21.54</c:v>
                </c:pt>
                <c:pt idx="90">
                  <c:v>21.78</c:v>
                </c:pt>
                <c:pt idx="91">
                  <c:v>22.02</c:v>
                </c:pt>
                <c:pt idx="92">
                  <c:v>22.26</c:v>
                </c:pt>
                <c:pt idx="93">
                  <c:v>22.49</c:v>
                </c:pt>
                <c:pt idx="94">
                  <c:v>22.73</c:v>
                </c:pt>
                <c:pt idx="95">
                  <c:v>22.97</c:v>
                </c:pt>
                <c:pt idx="96">
                  <c:v>23.21</c:v>
                </c:pt>
                <c:pt idx="97">
                  <c:v>23.45</c:v>
                </c:pt>
                <c:pt idx="98">
                  <c:v>23.69</c:v>
                </c:pt>
                <c:pt idx="99">
                  <c:v>23.93</c:v>
                </c:pt>
                <c:pt idx="100">
                  <c:v>24.17</c:v>
                </c:pt>
                <c:pt idx="101">
                  <c:v>24.41</c:v>
                </c:pt>
                <c:pt idx="102">
                  <c:v>24.65</c:v>
                </c:pt>
                <c:pt idx="103">
                  <c:v>24.89</c:v>
                </c:pt>
                <c:pt idx="104">
                  <c:v>25.13</c:v>
                </c:pt>
                <c:pt idx="105">
                  <c:v>25.37</c:v>
                </c:pt>
                <c:pt idx="106">
                  <c:v>25.61</c:v>
                </c:pt>
                <c:pt idx="107">
                  <c:v>25.85</c:v>
                </c:pt>
                <c:pt idx="108">
                  <c:v>26.08</c:v>
                </c:pt>
                <c:pt idx="109">
                  <c:v>26.32</c:v>
                </c:pt>
                <c:pt idx="110">
                  <c:v>26.56</c:v>
                </c:pt>
                <c:pt idx="111">
                  <c:v>26.8</c:v>
                </c:pt>
                <c:pt idx="112">
                  <c:v>27.04</c:v>
                </c:pt>
                <c:pt idx="113">
                  <c:v>27.28</c:v>
                </c:pt>
                <c:pt idx="114">
                  <c:v>27.52</c:v>
                </c:pt>
                <c:pt idx="115">
                  <c:v>27.76</c:v>
                </c:pt>
                <c:pt idx="116">
                  <c:v>28</c:v>
                </c:pt>
                <c:pt idx="117">
                  <c:v>28.24</c:v>
                </c:pt>
                <c:pt idx="118">
                  <c:v>28.48</c:v>
                </c:pt>
                <c:pt idx="119">
                  <c:v>28.72</c:v>
                </c:pt>
                <c:pt idx="120">
                  <c:v>28.96</c:v>
                </c:pt>
                <c:pt idx="121">
                  <c:v>29.2</c:v>
                </c:pt>
                <c:pt idx="122">
                  <c:v>29.43</c:v>
                </c:pt>
                <c:pt idx="123">
                  <c:v>29.67</c:v>
                </c:pt>
                <c:pt idx="124">
                  <c:v>29.91</c:v>
                </c:pt>
                <c:pt idx="125">
                  <c:v>30.15</c:v>
                </c:pt>
                <c:pt idx="126">
                  <c:v>30.39</c:v>
                </c:pt>
                <c:pt idx="127">
                  <c:v>30.63</c:v>
                </c:pt>
                <c:pt idx="128">
                  <c:v>30.87</c:v>
                </c:pt>
                <c:pt idx="129">
                  <c:v>31.11</c:v>
                </c:pt>
                <c:pt idx="130">
                  <c:v>31.35</c:v>
                </c:pt>
                <c:pt idx="131">
                  <c:v>31.59</c:v>
                </c:pt>
                <c:pt idx="132">
                  <c:v>31.83</c:v>
                </c:pt>
                <c:pt idx="133">
                  <c:v>32.07</c:v>
                </c:pt>
                <c:pt idx="134">
                  <c:v>32.31</c:v>
                </c:pt>
                <c:pt idx="135">
                  <c:v>32.549999999999997</c:v>
                </c:pt>
                <c:pt idx="136">
                  <c:v>32.78</c:v>
                </c:pt>
                <c:pt idx="137">
                  <c:v>33.020000000000003</c:v>
                </c:pt>
                <c:pt idx="138">
                  <c:v>33.26</c:v>
                </c:pt>
                <c:pt idx="139">
                  <c:v>33.5</c:v>
                </c:pt>
                <c:pt idx="140">
                  <c:v>33.74</c:v>
                </c:pt>
                <c:pt idx="141">
                  <c:v>33.979999999999997</c:v>
                </c:pt>
                <c:pt idx="142">
                  <c:v>34.22</c:v>
                </c:pt>
                <c:pt idx="143">
                  <c:v>34.46</c:v>
                </c:pt>
                <c:pt idx="144">
                  <c:v>34.700000000000003</c:v>
                </c:pt>
                <c:pt idx="145">
                  <c:v>34.94</c:v>
                </c:pt>
                <c:pt idx="146">
                  <c:v>35.18</c:v>
                </c:pt>
                <c:pt idx="147">
                  <c:v>35.42</c:v>
                </c:pt>
                <c:pt idx="148">
                  <c:v>35.659999999999997</c:v>
                </c:pt>
                <c:pt idx="149">
                  <c:v>35.9</c:v>
                </c:pt>
                <c:pt idx="150">
                  <c:v>36.14</c:v>
                </c:pt>
                <c:pt idx="151">
                  <c:v>36.369999999999997</c:v>
                </c:pt>
                <c:pt idx="152">
                  <c:v>36.61</c:v>
                </c:pt>
                <c:pt idx="153">
                  <c:v>36.85</c:v>
                </c:pt>
                <c:pt idx="154">
                  <c:v>37.090000000000003</c:v>
                </c:pt>
                <c:pt idx="155">
                  <c:v>37.33</c:v>
                </c:pt>
                <c:pt idx="156">
                  <c:v>37.57</c:v>
                </c:pt>
                <c:pt idx="157">
                  <c:v>37.81</c:v>
                </c:pt>
                <c:pt idx="158">
                  <c:v>38.049999999999997</c:v>
                </c:pt>
                <c:pt idx="159">
                  <c:v>38.29</c:v>
                </c:pt>
                <c:pt idx="160">
                  <c:v>38.53</c:v>
                </c:pt>
                <c:pt idx="161">
                  <c:v>38.770000000000003</c:v>
                </c:pt>
                <c:pt idx="162">
                  <c:v>39.01</c:v>
                </c:pt>
                <c:pt idx="163">
                  <c:v>39.25</c:v>
                </c:pt>
                <c:pt idx="164">
                  <c:v>39.49</c:v>
                </c:pt>
                <c:pt idx="165">
                  <c:v>39.72</c:v>
                </c:pt>
                <c:pt idx="166">
                  <c:v>39.96</c:v>
                </c:pt>
                <c:pt idx="167">
                  <c:v>40.200000000000003</c:v>
                </c:pt>
                <c:pt idx="168">
                  <c:v>40.44</c:v>
                </c:pt>
                <c:pt idx="169">
                  <c:v>40.68</c:v>
                </c:pt>
                <c:pt idx="170">
                  <c:v>40.92</c:v>
                </c:pt>
                <c:pt idx="171">
                  <c:v>41.16</c:v>
                </c:pt>
                <c:pt idx="172">
                  <c:v>41.4</c:v>
                </c:pt>
              </c:numCache>
            </c:numRef>
          </c:xVal>
          <c:yVal>
            <c:numRef>
              <c:f>Sheet1!$M$6:$M$178</c:f>
              <c:numCache>
                <c:formatCode>General</c:formatCode>
                <c:ptCount val="173"/>
                <c:pt idx="0">
                  <c:v>1.4055032857142191</c:v>
                </c:pt>
                <c:pt idx="1">
                  <c:v>1.5246457917761884</c:v>
                </c:pt>
                <c:pt idx="2">
                  <c:v>1.6438437667990442</c:v>
                </c:pt>
                <c:pt idx="3">
                  <c:v>1.7630428500100586</c:v>
                </c:pt>
                <c:pt idx="4">
                  <c:v>1.8822526476079249</c:v>
                </c:pt>
                <c:pt idx="5">
                  <c:v>2.0014228312482896</c:v>
                </c:pt>
                <c:pt idx="6">
                  <c:v>2.1205467528805153</c:v>
                </c:pt>
                <c:pt idx="7">
                  <c:v>2.2395889344363602</c:v>
                </c:pt>
                <c:pt idx="8">
                  <c:v>2.3585278483894601</c:v>
                </c:pt>
                <c:pt idx="9">
                  <c:v>2.4773584631386107</c:v>
                </c:pt>
                <c:pt idx="10">
                  <c:v>2.596071189275702</c:v>
                </c:pt>
                <c:pt idx="11">
                  <c:v>2.7145702865025667</c:v>
                </c:pt>
                <c:pt idx="12">
                  <c:v>2.8329186336480405</c:v>
                </c:pt>
                <c:pt idx="13">
                  <c:v>2.9509865823799157</c:v>
                </c:pt>
                <c:pt idx="14">
                  <c:v>3.0688786034605902</c:v>
                </c:pt>
                <c:pt idx="15">
                  <c:v>3.1863888232694109</c:v>
                </c:pt>
                <c:pt idx="16">
                  <c:v>3.3037186950707698</c:v>
                </c:pt>
                <c:pt idx="17">
                  <c:v>3.4206832270337229</c:v>
                </c:pt>
                <c:pt idx="18">
                  <c:v>3.5372101053938021</c:v>
                </c:pt>
                <c:pt idx="19">
                  <c:v>3.6534825901629011</c:v>
                </c:pt>
                <c:pt idx="20">
                  <c:v>3.7692402173947039</c:v>
                </c:pt>
                <c:pt idx="21">
                  <c:v>3.8846299130860698</c:v>
                </c:pt>
                <c:pt idx="22">
                  <c:v>3.9995649757053369</c:v>
                </c:pt>
                <c:pt idx="23">
                  <c:v>4.1140422540093553</c:v>
                </c:pt>
                <c:pt idx="24">
                  <c:v>4.2278801322828281</c:v>
                </c:pt>
                <c:pt idx="25">
                  <c:v>4.3414088785912295</c:v>
                </c:pt>
                <c:pt idx="26">
                  <c:v>4.4542495779083238</c:v>
                </c:pt>
                <c:pt idx="27">
                  <c:v>4.56642517700217</c:v>
                </c:pt>
                <c:pt idx="28">
                  <c:v>4.6779518897933086</c:v>
                </c:pt>
                <c:pt idx="29">
                  <c:v>4.7888008451341575</c:v>
                </c:pt>
                <c:pt idx="30">
                  <c:v>4.899120869566902</c:v>
                </c:pt>
                <c:pt idx="31">
                  <c:v>5.0086727265049964</c:v>
                </c:pt>
                <c:pt idx="32">
                  <c:v>5.1176209163965698</c:v>
                </c:pt>
                <c:pt idx="33">
                  <c:v>5.2256455656325596</c:v>
                </c:pt>
                <c:pt idx="34">
                  <c:v>5.3328254721667756</c:v>
                </c:pt>
                <c:pt idx="35">
                  <c:v>5.4393658276556325</c:v>
                </c:pt>
                <c:pt idx="36">
                  <c:v>5.5448611071148761</c:v>
                </c:pt>
                <c:pt idx="37">
                  <c:v>5.6497042538960844</c:v>
                </c:pt>
                <c:pt idx="38">
                  <c:v>5.7532109641178275</c:v>
                </c:pt>
                <c:pt idx="39">
                  <c:v>5.8559400558029902</c:v>
                </c:pt>
                <c:pt idx="40">
                  <c:v>5.9577262398448561</c:v>
                </c:pt>
                <c:pt idx="41">
                  <c:v>6.0584388694943208</c:v>
                </c:pt>
                <c:pt idx="42">
                  <c:v>6.1584721490855774</c:v>
                </c:pt>
                <c:pt idx="43">
                  <c:v>6.256819523223772</c:v>
                </c:pt>
                <c:pt idx="44">
                  <c:v>6.3544707468787882</c:v>
                </c:pt>
                <c:pt idx="45">
                  <c:v>6.4504362396910553</c:v>
                </c:pt>
                <c:pt idx="46">
                  <c:v>6.545887474353866</c:v>
                </c:pt>
                <c:pt idx="47">
                  <c:v>6.6398632733322032</c:v>
                </c:pt>
                <c:pt idx="48">
                  <c:v>6.7325141922411289</c:v>
                </c:pt>
                <c:pt idx="49">
                  <c:v>6.8234217667991146</c:v>
                </c:pt>
                <c:pt idx="50">
                  <c:v>6.9134506889543044</c:v>
                </c:pt>
                <c:pt idx="51">
                  <c:v>7.0022697011095101</c:v>
                </c:pt>
                <c:pt idx="52">
                  <c:v>7.0895318546760357</c:v>
                </c:pt>
                <c:pt idx="53">
                  <c:v>7.1748719109649661</c:v>
                </c:pt>
                <c:pt idx="54">
                  <c:v>7.2593891270226241</c:v>
                </c:pt>
                <c:pt idx="55">
                  <c:v>7.341296447704055</c:v>
                </c:pt>
                <c:pt idx="56">
                  <c:v>7.4225381806418422</c:v>
                </c:pt>
                <c:pt idx="57">
                  <c:v>7.5020866860380222</c:v>
                </c:pt>
                <c:pt idx="58">
                  <c:v>7.5796425880228808</c:v>
                </c:pt>
                <c:pt idx="59">
                  <c:v>7.6557474551171154</c:v>
                </c:pt>
                <c:pt idx="60">
                  <c:v>7.7292722481808429</c:v>
                </c:pt>
                <c:pt idx="61">
                  <c:v>7.8016836298235095</c:v>
                </c:pt>
                <c:pt idx="62">
                  <c:v>7.8727789099656516</c:v>
                </c:pt>
                <c:pt idx="63">
                  <c:v>7.9414014542370595</c:v>
                </c:pt>
                <c:pt idx="64">
                  <c:v>8.0072614776245423</c:v>
                </c:pt>
                <c:pt idx="65">
                  <c:v>8.072047806657574</c:v>
                </c:pt>
                <c:pt idx="66">
                  <c:v>8.1345797605085739</c:v>
                </c:pt>
                <c:pt idx="67">
                  <c:v>8.1946167119627606</c:v>
                </c:pt>
                <c:pt idx="68">
                  <c:v>8.252973294301885</c:v>
                </c:pt>
                <c:pt idx="69">
                  <c:v>8.3083801932068546</c:v>
                </c:pt>
                <c:pt idx="70">
                  <c:v>8.3627963270536938</c:v>
                </c:pt>
                <c:pt idx="71">
                  <c:v>8.4138314607243512</c:v>
                </c:pt>
                <c:pt idx="72">
                  <c:v>8.4623710732290576</c:v>
                </c:pt>
                <c:pt idx="73">
                  <c:v>8.5082104874219553</c:v>
                </c:pt>
                <c:pt idx="74">
                  <c:v>8.5523410392975077</c:v>
                </c:pt>
                <c:pt idx="75">
                  <c:v>8.5933931748591359</c:v>
                </c:pt>
                <c:pt idx="76">
                  <c:v>8.6323949294454074</c:v>
                </c:pt>
                <c:pt idx="77">
                  <c:v>8.6679229668737481</c:v>
                </c:pt>
                <c:pt idx="78">
                  <c:v>8.701042494523362</c:v>
                </c:pt>
                <c:pt idx="79">
                  <c:v>8.7302786333000757</c:v>
                </c:pt>
                <c:pt idx="80">
                  <c:v>8.7580680269385134</c:v>
                </c:pt>
                <c:pt idx="81">
                  <c:v>8.7815950019882347</c:v>
                </c:pt>
                <c:pt idx="82">
                  <c:v>8.8019995289638899</c:v>
                </c:pt>
                <c:pt idx="83">
                  <c:v>8.8205021506789372</c:v>
                </c:pt>
                <c:pt idx="84">
                  <c:v>8.8355686480789011</c:v>
                </c:pt>
                <c:pt idx="85">
                  <c:v>8.8455811374983639</c:v>
                </c:pt>
                <c:pt idx="86">
                  <c:v>8.853207410751633</c:v>
                </c:pt>
                <c:pt idx="87">
                  <c:v>8.8583183039040154</c:v>
                </c:pt>
                <c:pt idx="88">
                  <c:v>8.859289055264199</c:v>
                </c:pt>
                <c:pt idx="89">
                  <c:v>8.8559291074792554</c:v>
                </c:pt>
                <c:pt idx="90">
                  <c:v>8.8480473865443816</c:v>
                </c:pt>
                <c:pt idx="91">
                  <c:v>8.8385331874497783</c:v>
                </c:pt>
                <c:pt idx="92">
                  <c:v>8.8226186492950731</c:v>
                </c:pt>
                <c:pt idx="93">
                  <c:v>8.8047759380265944</c:v>
                </c:pt>
                <c:pt idx="94">
                  <c:v>8.7817260887806832</c:v>
                </c:pt>
                <c:pt idx="95">
                  <c:v>8.7548697822887753</c:v>
                </c:pt>
                <c:pt idx="96">
                  <c:v>8.7224389360574044</c:v>
                </c:pt>
                <c:pt idx="97">
                  <c:v>8.6874779457178573</c:v>
                </c:pt>
                <c:pt idx="98">
                  <c:v>8.6465940482193293</c:v>
                </c:pt>
                <c:pt idx="99">
                  <c:v>8.601230169565989</c:v>
                </c:pt>
                <c:pt idx="100">
                  <c:v>8.5512168013524086</c:v>
                </c:pt>
                <c:pt idx="101">
                  <c:v>8.4947273598910424</c:v>
                </c:pt>
                <c:pt idx="102">
                  <c:v>8.4348889854103959</c:v>
                </c:pt>
                <c:pt idx="103">
                  <c:v>8.3698767122349871</c:v>
                </c:pt>
                <c:pt idx="104">
                  <c:v>8.2995109165092398</c:v>
                </c:pt>
                <c:pt idx="105">
                  <c:v>8.2219410214931994</c:v>
                </c:pt>
                <c:pt idx="106">
                  <c:v>8.1403206812503157</c:v>
                </c:pt>
                <c:pt idx="107">
                  <c:v>8.0527960980070041</c:v>
                </c:pt>
                <c:pt idx="108">
                  <c:v>7.9591797445153567</c:v>
                </c:pt>
                <c:pt idx="109">
                  <c:v>7.8592821480578179</c:v>
                </c:pt>
                <c:pt idx="110">
                  <c:v>7.7529129933126546</c:v>
                </c:pt>
                <c:pt idx="111">
                  <c:v>7.6415263352406688</c:v>
                </c:pt>
                <c:pt idx="112">
                  <c:v>7.5216275841882396</c:v>
                </c:pt>
                <c:pt idx="113">
                  <c:v>7.3963029831068532</c:v>
                </c:pt>
                <c:pt idx="114">
                  <c:v>7.2637074188234836</c:v>
                </c:pt>
                <c:pt idx="115">
                  <c:v>7.1252370486276995</c:v>
                </c:pt>
                <c:pt idx="116">
                  <c:v>6.9774848851029683</c:v>
                </c:pt>
                <c:pt idx="117">
                  <c:v>6.8234185546014237</c:v>
                </c:pt>
                <c:pt idx="118">
                  <c:v>6.6612376357770158</c:v>
                </c:pt>
                <c:pt idx="119">
                  <c:v>6.4922461006421299</c:v>
                </c:pt>
                <c:pt idx="120">
                  <c:v>6.3146765926014243</c:v>
                </c:pt>
                <c:pt idx="121">
                  <c:v>6.128319195887415</c:v>
                </c:pt>
                <c:pt idx="122">
                  <c:v>5.9329660864456351</c:v>
                </c:pt>
                <c:pt idx="123">
                  <c:v>5.7297898897420962</c:v>
                </c:pt>
                <c:pt idx="124">
                  <c:v>5.5184678911408431</c:v>
                </c:pt>
                <c:pt idx="125">
                  <c:v>5.2960666772813001</c:v>
                </c:pt>
                <c:pt idx="126">
                  <c:v>5.0650094944154382</c:v>
                </c:pt>
                <c:pt idx="127">
                  <c:v>4.8249431301824686</c:v>
                </c:pt>
                <c:pt idx="128">
                  <c:v>4.574347872542349</c:v>
                </c:pt>
                <c:pt idx="129">
                  <c:v>4.3130047968995315</c:v>
                </c:pt>
                <c:pt idx="130">
                  <c:v>4.0417312497289801</c:v>
                </c:pt>
                <c:pt idx="131">
                  <c:v>3.7591547651310746</c:v>
                </c:pt>
                <c:pt idx="132">
                  <c:v>3.4659575561168161</c:v>
                </c:pt>
                <c:pt idx="133">
                  <c:v>3.1608797456242992</c:v>
                </c:pt>
                <c:pt idx="134">
                  <c:v>2.8444511898774629</c:v>
                </c:pt>
                <c:pt idx="135">
                  <c:v>2.515541384971681</c:v>
                </c:pt>
                <c:pt idx="136">
                  <c:v>2.1745088466238309</c:v>
                </c:pt>
                <c:pt idx="137">
                  <c:v>1.8203682995481809</c:v>
                </c:pt>
                <c:pt idx="138">
                  <c:v>1.4532883820870177</c:v>
                </c:pt>
                <c:pt idx="139">
                  <c:v>1.0727430978218491</c:v>
                </c:pt>
                <c:pt idx="140">
                  <c:v>0.67780477629963509</c:v>
                </c:pt>
                <c:pt idx="141">
                  <c:v>0.26879588583114278</c:v>
                </c:pt>
                <c:pt idx="142">
                  <c:v>0.1551247327623706</c:v>
                </c:pt>
                <c:pt idx="143">
                  <c:v>0.59420231783612654</c:v>
                </c:pt>
                <c:pt idx="144">
                  <c:v>1.0489737696799815</c:v>
                </c:pt>
                <c:pt idx="145">
                  <c:v>1.5200820162142301</c:v>
                </c:pt>
                <c:pt idx="146">
                  <c:v>2.0076214610619059</c:v>
                </c:pt>
                <c:pt idx="147">
                  <c:v>2.5125797918836383</c:v>
                </c:pt>
                <c:pt idx="148">
                  <c:v>3.0347889426481305</c:v>
                </c:pt>
                <c:pt idx="149">
                  <c:v>3.5755686201180841</c:v>
                </c:pt>
                <c:pt idx="150">
                  <c:v>4.1344630162988736</c:v>
                </c:pt>
                <c:pt idx="151">
                  <c:v>4.7131555253855213</c:v>
                </c:pt>
                <c:pt idx="152">
                  <c:v>5.3124799853923452</c:v>
                </c:pt>
                <c:pt idx="153">
                  <c:v>5.9315104439197857</c:v>
                </c:pt>
                <c:pt idx="154">
                  <c:v>6.5725575461545951</c:v>
                </c:pt>
                <c:pt idx="155">
                  <c:v>7.2343386653686812</c:v>
                </c:pt>
                <c:pt idx="156">
                  <c:v>7.9196245825959561</c:v>
                </c:pt>
                <c:pt idx="157">
                  <c:v>8.6267440410855212</c:v>
                </c:pt>
                <c:pt idx="158">
                  <c:v>9.3589714569757536</c:v>
                </c:pt>
                <c:pt idx="159">
                  <c:v>10.117410907318556</c:v>
                </c:pt>
                <c:pt idx="160">
                  <c:v>10.899765106230989</c:v>
                </c:pt>
                <c:pt idx="161">
                  <c:v>11.710171423668596</c:v>
                </c:pt>
                <c:pt idx="162">
                  <c:v>12.545863824578252</c:v>
                </c:pt>
                <c:pt idx="163">
                  <c:v>13.411612681780358</c:v>
                </c:pt>
                <c:pt idx="164">
                  <c:v>14.308802649512005</c:v>
                </c:pt>
                <c:pt idx="165">
                  <c:v>15.233918217182365</c:v>
                </c:pt>
                <c:pt idx="166">
                  <c:v>16.18749003541312</c:v>
                </c:pt>
                <c:pt idx="167">
                  <c:v>17.175741751341665</c:v>
                </c:pt>
                <c:pt idx="168">
                  <c:v>18.200341280926189</c:v>
                </c:pt>
                <c:pt idx="169">
                  <c:v>19.256631763944608</c:v>
                </c:pt>
                <c:pt idx="170">
                  <c:v>20.352137172907472</c:v>
                </c:pt>
                <c:pt idx="171">
                  <c:v>21.481580257502884</c:v>
                </c:pt>
                <c:pt idx="172">
                  <c:v>22.653441404136853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23-4325-80BB-F20E7BE30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473439"/>
        <c:axId val="1970471519"/>
      </c:scatterChart>
      <c:valAx>
        <c:axId val="197047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Steering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471519"/>
        <c:crosses val="autoZero"/>
        <c:crossBetween val="midCat"/>
      </c:valAx>
      <c:valAx>
        <c:axId val="197047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  <a:r>
                  <a:rPr lang="en-US" baseline="0"/>
                  <a:t> Percentage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47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Sheet1!$L$59:$L$178</c:f>
              <c:numCache>
                <c:formatCode>General</c:formatCode>
                <c:ptCount val="120"/>
                <c:pt idx="0">
                  <c:v>100.01</c:v>
                </c:pt>
                <c:pt idx="1">
                  <c:v>98.14</c:v>
                </c:pt>
                <c:pt idx="2">
                  <c:v>96.35</c:v>
                </c:pt>
                <c:pt idx="3">
                  <c:v>94.61</c:v>
                </c:pt>
                <c:pt idx="4">
                  <c:v>92.93</c:v>
                </c:pt>
                <c:pt idx="5">
                  <c:v>91.31</c:v>
                </c:pt>
                <c:pt idx="6">
                  <c:v>89.74</c:v>
                </c:pt>
                <c:pt idx="7">
                  <c:v>88.23</c:v>
                </c:pt>
                <c:pt idx="8">
                  <c:v>86.76</c:v>
                </c:pt>
                <c:pt idx="9">
                  <c:v>85.33</c:v>
                </c:pt>
                <c:pt idx="10">
                  <c:v>83.95</c:v>
                </c:pt>
                <c:pt idx="11">
                  <c:v>82.62</c:v>
                </c:pt>
                <c:pt idx="12">
                  <c:v>81.319999999999993</c:v>
                </c:pt>
                <c:pt idx="13">
                  <c:v>80.06</c:v>
                </c:pt>
                <c:pt idx="14">
                  <c:v>78.84</c:v>
                </c:pt>
                <c:pt idx="15">
                  <c:v>77.650000000000006</c:v>
                </c:pt>
                <c:pt idx="16">
                  <c:v>76.5</c:v>
                </c:pt>
                <c:pt idx="17">
                  <c:v>75.37</c:v>
                </c:pt>
                <c:pt idx="18">
                  <c:v>74.28</c:v>
                </c:pt>
                <c:pt idx="19">
                  <c:v>73.22</c:v>
                </c:pt>
                <c:pt idx="20">
                  <c:v>72.19</c:v>
                </c:pt>
                <c:pt idx="21">
                  <c:v>71.180000000000007</c:v>
                </c:pt>
                <c:pt idx="22">
                  <c:v>70.2</c:v>
                </c:pt>
                <c:pt idx="23">
                  <c:v>69.239999999999995</c:v>
                </c:pt>
                <c:pt idx="24">
                  <c:v>68.31</c:v>
                </c:pt>
                <c:pt idx="25">
                  <c:v>67.400000000000006</c:v>
                </c:pt>
                <c:pt idx="26">
                  <c:v>66.52</c:v>
                </c:pt>
                <c:pt idx="27">
                  <c:v>65.650000000000006</c:v>
                </c:pt>
                <c:pt idx="28">
                  <c:v>64.81</c:v>
                </c:pt>
                <c:pt idx="29">
                  <c:v>63.99</c:v>
                </c:pt>
                <c:pt idx="30">
                  <c:v>63.18</c:v>
                </c:pt>
                <c:pt idx="31">
                  <c:v>62.39</c:v>
                </c:pt>
                <c:pt idx="32">
                  <c:v>61.63</c:v>
                </c:pt>
                <c:pt idx="33">
                  <c:v>60.88</c:v>
                </c:pt>
                <c:pt idx="34">
                  <c:v>60.14</c:v>
                </c:pt>
                <c:pt idx="35">
                  <c:v>59.42</c:v>
                </c:pt>
                <c:pt idx="36">
                  <c:v>58.72</c:v>
                </c:pt>
                <c:pt idx="37">
                  <c:v>58.04</c:v>
                </c:pt>
                <c:pt idx="38">
                  <c:v>57.36</c:v>
                </c:pt>
                <c:pt idx="39">
                  <c:v>56.71</c:v>
                </c:pt>
                <c:pt idx="40">
                  <c:v>56.06</c:v>
                </c:pt>
                <c:pt idx="41">
                  <c:v>55.43</c:v>
                </c:pt>
                <c:pt idx="42">
                  <c:v>54.81</c:v>
                </c:pt>
                <c:pt idx="43">
                  <c:v>54.21</c:v>
                </c:pt>
                <c:pt idx="44">
                  <c:v>53.61</c:v>
                </c:pt>
                <c:pt idx="45">
                  <c:v>53.03</c:v>
                </c:pt>
                <c:pt idx="46">
                  <c:v>52.46</c:v>
                </c:pt>
                <c:pt idx="47">
                  <c:v>51.9</c:v>
                </c:pt>
                <c:pt idx="48">
                  <c:v>51.36</c:v>
                </c:pt>
                <c:pt idx="49">
                  <c:v>50.82</c:v>
                </c:pt>
                <c:pt idx="50">
                  <c:v>50.29</c:v>
                </c:pt>
                <c:pt idx="51">
                  <c:v>49.77</c:v>
                </c:pt>
                <c:pt idx="52">
                  <c:v>49.27</c:v>
                </c:pt>
                <c:pt idx="53">
                  <c:v>48.77</c:v>
                </c:pt>
                <c:pt idx="54">
                  <c:v>48.28</c:v>
                </c:pt>
                <c:pt idx="55">
                  <c:v>47.8</c:v>
                </c:pt>
                <c:pt idx="56">
                  <c:v>47.33</c:v>
                </c:pt>
                <c:pt idx="57">
                  <c:v>46.87</c:v>
                </c:pt>
                <c:pt idx="58">
                  <c:v>46.41</c:v>
                </c:pt>
                <c:pt idx="59">
                  <c:v>45.97</c:v>
                </c:pt>
                <c:pt idx="60">
                  <c:v>45.53</c:v>
                </c:pt>
                <c:pt idx="61">
                  <c:v>45.1</c:v>
                </c:pt>
                <c:pt idx="62">
                  <c:v>44.67</c:v>
                </c:pt>
                <c:pt idx="63">
                  <c:v>44.26</c:v>
                </c:pt>
                <c:pt idx="64">
                  <c:v>43.85</c:v>
                </c:pt>
                <c:pt idx="65">
                  <c:v>43.45</c:v>
                </c:pt>
                <c:pt idx="66">
                  <c:v>43.05</c:v>
                </c:pt>
                <c:pt idx="67">
                  <c:v>42.66</c:v>
                </c:pt>
                <c:pt idx="68">
                  <c:v>42.28</c:v>
                </c:pt>
                <c:pt idx="69">
                  <c:v>41.91</c:v>
                </c:pt>
                <c:pt idx="70">
                  <c:v>41.54</c:v>
                </c:pt>
                <c:pt idx="71">
                  <c:v>41.17</c:v>
                </c:pt>
                <c:pt idx="72">
                  <c:v>40.82</c:v>
                </c:pt>
                <c:pt idx="73">
                  <c:v>40.47</c:v>
                </c:pt>
                <c:pt idx="74">
                  <c:v>40.119999999999997</c:v>
                </c:pt>
                <c:pt idx="75">
                  <c:v>39.78</c:v>
                </c:pt>
                <c:pt idx="76">
                  <c:v>39.450000000000003</c:v>
                </c:pt>
                <c:pt idx="77">
                  <c:v>39.119999999999997</c:v>
                </c:pt>
                <c:pt idx="78">
                  <c:v>38.799999999999997</c:v>
                </c:pt>
                <c:pt idx="79">
                  <c:v>38.479999999999997</c:v>
                </c:pt>
                <c:pt idx="80">
                  <c:v>38.17</c:v>
                </c:pt>
                <c:pt idx="81">
                  <c:v>37.86</c:v>
                </c:pt>
                <c:pt idx="82">
                  <c:v>37.56</c:v>
                </c:pt>
                <c:pt idx="83">
                  <c:v>37.26</c:v>
                </c:pt>
                <c:pt idx="84">
                  <c:v>36.97</c:v>
                </c:pt>
                <c:pt idx="85">
                  <c:v>36.68</c:v>
                </c:pt>
                <c:pt idx="86">
                  <c:v>36.39</c:v>
                </c:pt>
                <c:pt idx="87">
                  <c:v>36.119999999999997</c:v>
                </c:pt>
                <c:pt idx="88">
                  <c:v>35.840000000000003</c:v>
                </c:pt>
                <c:pt idx="89">
                  <c:v>35.57</c:v>
                </c:pt>
                <c:pt idx="90">
                  <c:v>35.31</c:v>
                </c:pt>
                <c:pt idx="91">
                  <c:v>35.049999999999997</c:v>
                </c:pt>
                <c:pt idx="92">
                  <c:v>34.79</c:v>
                </c:pt>
                <c:pt idx="93">
                  <c:v>34.54</c:v>
                </c:pt>
                <c:pt idx="94">
                  <c:v>34.29</c:v>
                </c:pt>
                <c:pt idx="95">
                  <c:v>34.049999999999997</c:v>
                </c:pt>
                <c:pt idx="96">
                  <c:v>33.81</c:v>
                </c:pt>
                <c:pt idx="97">
                  <c:v>33.58</c:v>
                </c:pt>
                <c:pt idx="98">
                  <c:v>33.35</c:v>
                </c:pt>
                <c:pt idx="99">
                  <c:v>33.119999999999997</c:v>
                </c:pt>
                <c:pt idx="100">
                  <c:v>32.9</c:v>
                </c:pt>
                <c:pt idx="101">
                  <c:v>32.68</c:v>
                </c:pt>
                <c:pt idx="102">
                  <c:v>32.47</c:v>
                </c:pt>
                <c:pt idx="103">
                  <c:v>32.26</c:v>
                </c:pt>
                <c:pt idx="104">
                  <c:v>32.06</c:v>
                </c:pt>
                <c:pt idx="105">
                  <c:v>31.86</c:v>
                </c:pt>
                <c:pt idx="106">
                  <c:v>31.66</c:v>
                </c:pt>
                <c:pt idx="107">
                  <c:v>31.47</c:v>
                </c:pt>
                <c:pt idx="108">
                  <c:v>31.28</c:v>
                </c:pt>
                <c:pt idx="109">
                  <c:v>31.1</c:v>
                </c:pt>
                <c:pt idx="110">
                  <c:v>30.92</c:v>
                </c:pt>
                <c:pt idx="111">
                  <c:v>30.74</c:v>
                </c:pt>
                <c:pt idx="112">
                  <c:v>30.57</c:v>
                </c:pt>
                <c:pt idx="113">
                  <c:v>30.41</c:v>
                </c:pt>
                <c:pt idx="114">
                  <c:v>30.25</c:v>
                </c:pt>
                <c:pt idx="115">
                  <c:v>30.09</c:v>
                </c:pt>
                <c:pt idx="116">
                  <c:v>29.94</c:v>
                </c:pt>
                <c:pt idx="117">
                  <c:v>29.79</c:v>
                </c:pt>
                <c:pt idx="118">
                  <c:v>29.65</c:v>
                </c:pt>
                <c:pt idx="119">
                  <c:v>29.51</c:v>
                </c:pt>
              </c:numCache>
            </c:numRef>
          </c:xVal>
          <c:yVal>
            <c:numRef>
              <c:f>Sheet1!$M$59:$M$178</c:f>
              <c:numCache>
                <c:formatCode>General</c:formatCode>
                <c:ptCount val="120"/>
                <c:pt idx="0">
                  <c:v>7.1748719109649661</c:v>
                </c:pt>
                <c:pt idx="1">
                  <c:v>7.2593891270226241</c:v>
                </c:pt>
                <c:pt idx="2">
                  <c:v>7.341296447704055</c:v>
                </c:pt>
                <c:pt idx="3">
                  <c:v>7.4225381806418422</c:v>
                </c:pt>
                <c:pt idx="4">
                  <c:v>7.5020866860380222</c:v>
                </c:pt>
                <c:pt idx="5">
                  <c:v>7.5796425880228808</c:v>
                </c:pt>
                <c:pt idx="6">
                  <c:v>7.6557474551171154</c:v>
                </c:pt>
                <c:pt idx="7">
                  <c:v>7.7292722481808429</c:v>
                </c:pt>
                <c:pt idx="8">
                  <c:v>7.8016836298235095</c:v>
                </c:pt>
                <c:pt idx="9">
                  <c:v>7.8727789099656516</c:v>
                </c:pt>
                <c:pt idx="10">
                  <c:v>7.9414014542370595</c:v>
                </c:pt>
                <c:pt idx="11">
                  <c:v>8.0072614776245423</c:v>
                </c:pt>
                <c:pt idx="12">
                  <c:v>8.072047806657574</c:v>
                </c:pt>
                <c:pt idx="13">
                  <c:v>8.1345797605085739</c:v>
                </c:pt>
                <c:pt idx="14">
                  <c:v>8.1946167119627606</c:v>
                </c:pt>
                <c:pt idx="15">
                  <c:v>8.252973294301885</c:v>
                </c:pt>
                <c:pt idx="16">
                  <c:v>8.3083801932068546</c:v>
                </c:pt>
                <c:pt idx="17">
                  <c:v>8.3627963270536938</c:v>
                </c:pt>
                <c:pt idx="18">
                  <c:v>8.4138314607243512</c:v>
                </c:pt>
                <c:pt idx="19">
                  <c:v>8.4623710732290576</c:v>
                </c:pt>
                <c:pt idx="20">
                  <c:v>8.5082104874219553</c:v>
                </c:pt>
                <c:pt idx="21">
                  <c:v>8.5523410392975077</c:v>
                </c:pt>
                <c:pt idx="22">
                  <c:v>8.5933931748591359</c:v>
                </c:pt>
                <c:pt idx="23">
                  <c:v>8.6323949294454074</c:v>
                </c:pt>
                <c:pt idx="24">
                  <c:v>8.6679229668737481</c:v>
                </c:pt>
                <c:pt idx="25">
                  <c:v>8.701042494523362</c:v>
                </c:pt>
                <c:pt idx="26">
                  <c:v>8.7302786333000757</c:v>
                </c:pt>
                <c:pt idx="27">
                  <c:v>8.7580680269385134</c:v>
                </c:pt>
                <c:pt idx="28">
                  <c:v>8.7815950019882347</c:v>
                </c:pt>
                <c:pt idx="29">
                  <c:v>8.8019995289638899</c:v>
                </c:pt>
                <c:pt idx="30">
                  <c:v>8.8205021506789372</c:v>
                </c:pt>
                <c:pt idx="31">
                  <c:v>8.8355686480789011</c:v>
                </c:pt>
                <c:pt idx="32">
                  <c:v>8.8455811374983639</c:v>
                </c:pt>
                <c:pt idx="33">
                  <c:v>8.853207410751633</c:v>
                </c:pt>
                <c:pt idx="34">
                  <c:v>8.8583183039040154</c:v>
                </c:pt>
                <c:pt idx="35">
                  <c:v>8.859289055264199</c:v>
                </c:pt>
                <c:pt idx="36">
                  <c:v>8.8559291074792554</c:v>
                </c:pt>
                <c:pt idx="37">
                  <c:v>8.8480473865443816</c:v>
                </c:pt>
                <c:pt idx="38">
                  <c:v>8.8385331874497783</c:v>
                </c:pt>
                <c:pt idx="39">
                  <c:v>8.8226186492950731</c:v>
                </c:pt>
                <c:pt idx="40">
                  <c:v>8.8047759380265944</c:v>
                </c:pt>
                <c:pt idx="41">
                  <c:v>8.7817260887806832</c:v>
                </c:pt>
                <c:pt idx="42">
                  <c:v>8.7548697822887753</c:v>
                </c:pt>
                <c:pt idx="43">
                  <c:v>8.7224389360574044</c:v>
                </c:pt>
                <c:pt idx="44">
                  <c:v>8.6874779457178573</c:v>
                </c:pt>
                <c:pt idx="45">
                  <c:v>8.6465940482193293</c:v>
                </c:pt>
                <c:pt idx="46">
                  <c:v>8.601230169565989</c:v>
                </c:pt>
                <c:pt idx="47">
                  <c:v>8.5512168013524086</c:v>
                </c:pt>
                <c:pt idx="48">
                  <c:v>8.4947273598910424</c:v>
                </c:pt>
                <c:pt idx="49">
                  <c:v>8.4348889854103959</c:v>
                </c:pt>
                <c:pt idx="50">
                  <c:v>8.3698767122349871</c:v>
                </c:pt>
                <c:pt idx="51">
                  <c:v>8.2995109165092398</c:v>
                </c:pt>
                <c:pt idx="52">
                  <c:v>8.2219410214931994</c:v>
                </c:pt>
                <c:pt idx="53">
                  <c:v>8.1403206812503157</c:v>
                </c:pt>
                <c:pt idx="54">
                  <c:v>8.0527960980070041</c:v>
                </c:pt>
                <c:pt idx="55">
                  <c:v>7.9591797445153567</c:v>
                </c:pt>
                <c:pt idx="56">
                  <c:v>7.8592821480578179</c:v>
                </c:pt>
                <c:pt idx="57">
                  <c:v>7.7529129933126546</c:v>
                </c:pt>
                <c:pt idx="58">
                  <c:v>7.6415263352406688</c:v>
                </c:pt>
                <c:pt idx="59">
                  <c:v>7.5216275841882396</c:v>
                </c:pt>
                <c:pt idx="60">
                  <c:v>7.3963029831068532</c:v>
                </c:pt>
                <c:pt idx="61">
                  <c:v>7.2637074188234836</c:v>
                </c:pt>
                <c:pt idx="62">
                  <c:v>7.1252370486276995</c:v>
                </c:pt>
                <c:pt idx="63">
                  <c:v>6.9774848851029683</c:v>
                </c:pt>
                <c:pt idx="64">
                  <c:v>6.8234185546014237</c:v>
                </c:pt>
                <c:pt idx="65">
                  <c:v>6.6612376357770158</c:v>
                </c:pt>
                <c:pt idx="66">
                  <c:v>6.4922461006421299</c:v>
                </c:pt>
                <c:pt idx="67">
                  <c:v>6.3146765926014243</c:v>
                </c:pt>
                <c:pt idx="68">
                  <c:v>6.128319195887415</c:v>
                </c:pt>
                <c:pt idx="69">
                  <c:v>5.9329660864456351</c:v>
                </c:pt>
                <c:pt idx="70">
                  <c:v>5.7297898897420962</c:v>
                </c:pt>
                <c:pt idx="71">
                  <c:v>5.5184678911408431</c:v>
                </c:pt>
                <c:pt idx="72">
                  <c:v>5.2960666772813001</c:v>
                </c:pt>
                <c:pt idx="73">
                  <c:v>5.0650094944154382</c:v>
                </c:pt>
                <c:pt idx="74">
                  <c:v>4.8249431301824686</c:v>
                </c:pt>
                <c:pt idx="75">
                  <c:v>4.574347872542349</c:v>
                </c:pt>
                <c:pt idx="76">
                  <c:v>4.3130047968995315</c:v>
                </c:pt>
                <c:pt idx="77">
                  <c:v>4.0417312497289801</c:v>
                </c:pt>
                <c:pt idx="78">
                  <c:v>3.7591547651310746</c:v>
                </c:pt>
                <c:pt idx="79">
                  <c:v>3.4659575561168161</c:v>
                </c:pt>
                <c:pt idx="80">
                  <c:v>3.1608797456242992</c:v>
                </c:pt>
                <c:pt idx="81">
                  <c:v>2.8444511898774629</c:v>
                </c:pt>
                <c:pt idx="82">
                  <c:v>2.515541384971681</c:v>
                </c:pt>
                <c:pt idx="83">
                  <c:v>2.1745088466238309</c:v>
                </c:pt>
                <c:pt idx="84">
                  <c:v>1.8203682995481809</c:v>
                </c:pt>
                <c:pt idx="85">
                  <c:v>1.4532883820870177</c:v>
                </c:pt>
                <c:pt idx="86">
                  <c:v>1.0727430978218491</c:v>
                </c:pt>
                <c:pt idx="87">
                  <c:v>0.67780477629963509</c:v>
                </c:pt>
                <c:pt idx="88">
                  <c:v>0.26879588583114278</c:v>
                </c:pt>
                <c:pt idx="89">
                  <c:v>0.1551247327623706</c:v>
                </c:pt>
                <c:pt idx="90">
                  <c:v>0.59420231783612654</c:v>
                </c:pt>
                <c:pt idx="91">
                  <c:v>1.0489737696799815</c:v>
                </c:pt>
                <c:pt idx="92">
                  <c:v>1.5200820162142301</c:v>
                </c:pt>
                <c:pt idx="93">
                  <c:v>2.0076214610619059</c:v>
                </c:pt>
                <c:pt idx="94">
                  <c:v>2.5125797918836383</c:v>
                </c:pt>
                <c:pt idx="95">
                  <c:v>3.0347889426481305</c:v>
                </c:pt>
                <c:pt idx="96">
                  <c:v>3.5755686201180841</c:v>
                </c:pt>
                <c:pt idx="97">
                  <c:v>4.1344630162988736</c:v>
                </c:pt>
                <c:pt idx="98">
                  <c:v>4.7131555253855213</c:v>
                </c:pt>
                <c:pt idx="99">
                  <c:v>5.3124799853923452</c:v>
                </c:pt>
                <c:pt idx="100">
                  <c:v>5.9315104439197857</c:v>
                </c:pt>
                <c:pt idx="101">
                  <c:v>6.5725575461545951</c:v>
                </c:pt>
                <c:pt idx="102">
                  <c:v>7.2343386653686812</c:v>
                </c:pt>
                <c:pt idx="103">
                  <c:v>7.9196245825959561</c:v>
                </c:pt>
                <c:pt idx="104">
                  <c:v>8.6267440410855212</c:v>
                </c:pt>
                <c:pt idx="105">
                  <c:v>9.3589714569757536</c:v>
                </c:pt>
                <c:pt idx="106">
                  <c:v>10.117410907318556</c:v>
                </c:pt>
                <c:pt idx="107">
                  <c:v>10.899765106230989</c:v>
                </c:pt>
                <c:pt idx="108">
                  <c:v>11.710171423668596</c:v>
                </c:pt>
                <c:pt idx="109">
                  <c:v>12.545863824578252</c:v>
                </c:pt>
                <c:pt idx="110">
                  <c:v>13.411612681780358</c:v>
                </c:pt>
                <c:pt idx="111">
                  <c:v>14.308802649512005</c:v>
                </c:pt>
                <c:pt idx="112">
                  <c:v>15.233918217182365</c:v>
                </c:pt>
                <c:pt idx="113">
                  <c:v>16.18749003541312</c:v>
                </c:pt>
                <c:pt idx="114">
                  <c:v>17.175741751341665</c:v>
                </c:pt>
                <c:pt idx="115">
                  <c:v>18.200341280926189</c:v>
                </c:pt>
                <c:pt idx="116">
                  <c:v>19.256631763944608</c:v>
                </c:pt>
                <c:pt idx="117">
                  <c:v>20.352137172907472</c:v>
                </c:pt>
                <c:pt idx="118">
                  <c:v>21.481580257502884</c:v>
                </c:pt>
                <c:pt idx="119">
                  <c:v>22.653441404136853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39-4B66-BA46-F18714CED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140431"/>
        <c:axId val="1971140911"/>
      </c:scatterChart>
      <c:valAx>
        <c:axId val="197114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Radius of Rotation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140911"/>
        <c:crosses val="autoZero"/>
        <c:crossBetween val="midCat"/>
      </c:valAx>
      <c:valAx>
        <c:axId val="197114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  <a:r>
                  <a:rPr lang="en-US" baseline="0"/>
                  <a:t> percentage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14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Steering Angle vs Differnce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Sheet1!$H$6:$H$178</c:f>
              <c:numCache>
                <c:formatCode>0.0000E+00</c:formatCode>
                <c:ptCount val="173"/>
                <c:pt idx="0">
                  <c:v>0.24</c:v>
                </c:pt>
                <c:pt idx="1">
                  <c:v>0.48</c:v>
                </c:pt>
                <c:pt idx="2">
                  <c:v>0.72</c:v>
                </c:pt>
                <c:pt idx="3">
                  <c:v>0.96</c:v>
                </c:pt>
                <c:pt idx="4">
                  <c:v>1.2</c:v>
                </c:pt>
                <c:pt idx="5">
                  <c:v>1.44</c:v>
                </c:pt>
                <c:pt idx="6">
                  <c:v>1.68</c:v>
                </c:pt>
                <c:pt idx="7">
                  <c:v>1.91</c:v>
                </c:pt>
                <c:pt idx="8">
                  <c:v>2.15</c:v>
                </c:pt>
                <c:pt idx="9">
                  <c:v>2.39</c:v>
                </c:pt>
                <c:pt idx="10">
                  <c:v>2.63</c:v>
                </c:pt>
                <c:pt idx="11">
                  <c:v>2.87</c:v>
                </c:pt>
                <c:pt idx="12">
                  <c:v>3.11</c:v>
                </c:pt>
                <c:pt idx="13">
                  <c:v>3.35</c:v>
                </c:pt>
                <c:pt idx="14">
                  <c:v>3.59</c:v>
                </c:pt>
                <c:pt idx="15">
                  <c:v>3.83</c:v>
                </c:pt>
                <c:pt idx="16">
                  <c:v>4.07</c:v>
                </c:pt>
                <c:pt idx="17">
                  <c:v>4.3099999999999996</c:v>
                </c:pt>
                <c:pt idx="18">
                  <c:v>4.55</c:v>
                </c:pt>
                <c:pt idx="19">
                  <c:v>4.79</c:v>
                </c:pt>
                <c:pt idx="20">
                  <c:v>5.03</c:v>
                </c:pt>
                <c:pt idx="21">
                  <c:v>5.26</c:v>
                </c:pt>
                <c:pt idx="22">
                  <c:v>5.5</c:v>
                </c:pt>
                <c:pt idx="23">
                  <c:v>5.74</c:v>
                </c:pt>
                <c:pt idx="24">
                  <c:v>5.98</c:v>
                </c:pt>
                <c:pt idx="25">
                  <c:v>6.22</c:v>
                </c:pt>
                <c:pt idx="26">
                  <c:v>6.46</c:v>
                </c:pt>
                <c:pt idx="27">
                  <c:v>6.7</c:v>
                </c:pt>
                <c:pt idx="28">
                  <c:v>6.94</c:v>
                </c:pt>
                <c:pt idx="29">
                  <c:v>7.18</c:v>
                </c:pt>
                <c:pt idx="30">
                  <c:v>7.42</c:v>
                </c:pt>
                <c:pt idx="31">
                  <c:v>7.66</c:v>
                </c:pt>
                <c:pt idx="32">
                  <c:v>7.9</c:v>
                </c:pt>
                <c:pt idx="33">
                  <c:v>8.14</c:v>
                </c:pt>
                <c:pt idx="34">
                  <c:v>8.3800000000000008</c:v>
                </c:pt>
                <c:pt idx="35">
                  <c:v>8.6199999999999992</c:v>
                </c:pt>
                <c:pt idx="36">
                  <c:v>8.85</c:v>
                </c:pt>
                <c:pt idx="37">
                  <c:v>9.09</c:v>
                </c:pt>
                <c:pt idx="38">
                  <c:v>9.33</c:v>
                </c:pt>
                <c:pt idx="39">
                  <c:v>9.57</c:v>
                </c:pt>
                <c:pt idx="40">
                  <c:v>9.81</c:v>
                </c:pt>
                <c:pt idx="41">
                  <c:v>10.050000000000001</c:v>
                </c:pt>
                <c:pt idx="42">
                  <c:v>10.29</c:v>
                </c:pt>
                <c:pt idx="43">
                  <c:v>10.53</c:v>
                </c:pt>
                <c:pt idx="44">
                  <c:v>10.77</c:v>
                </c:pt>
                <c:pt idx="45">
                  <c:v>11.01</c:v>
                </c:pt>
                <c:pt idx="46">
                  <c:v>11.25</c:v>
                </c:pt>
                <c:pt idx="47">
                  <c:v>11.49</c:v>
                </c:pt>
                <c:pt idx="48">
                  <c:v>11.73</c:v>
                </c:pt>
                <c:pt idx="49">
                  <c:v>11.97</c:v>
                </c:pt>
                <c:pt idx="50">
                  <c:v>12.2</c:v>
                </c:pt>
                <c:pt idx="51">
                  <c:v>12.44</c:v>
                </c:pt>
                <c:pt idx="52">
                  <c:v>12.68</c:v>
                </c:pt>
                <c:pt idx="53">
                  <c:v>12.92</c:v>
                </c:pt>
                <c:pt idx="54">
                  <c:v>13.16</c:v>
                </c:pt>
                <c:pt idx="55">
                  <c:v>13.4</c:v>
                </c:pt>
                <c:pt idx="56">
                  <c:v>13.64</c:v>
                </c:pt>
                <c:pt idx="57">
                  <c:v>13.88</c:v>
                </c:pt>
                <c:pt idx="58">
                  <c:v>14.12</c:v>
                </c:pt>
                <c:pt idx="59">
                  <c:v>14.36</c:v>
                </c:pt>
                <c:pt idx="60">
                  <c:v>14.6</c:v>
                </c:pt>
                <c:pt idx="61">
                  <c:v>14.84</c:v>
                </c:pt>
                <c:pt idx="62">
                  <c:v>15.08</c:v>
                </c:pt>
                <c:pt idx="63">
                  <c:v>15.32</c:v>
                </c:pt>
                <c:pt idx="64">
                  <c:v>15.55</c:v>
                </c:pt>
                <c:pt idx="65">
                  <c:v>15.79</c:v>
                </c:pt>
                <c:pt idx="66">
                  <c:v>16.03</c:v>
                </c:pt>
                <c:pt idx="67">
                  <c:v>16.27</c:v>
                </c:pt>
                <c:pt idx="68">
                  <c:v>16.510000000000002</c:v>
                </c:pt>
                <c:pt idx="69">
                  <c:v>16.75</c:v>
                </c:pt>
                <c:pt idx="70">
                  <c:v>16.989999999999998</c:v>
                </c:pt>
                <c:pt idx="71">
                  <c:v>17.23</c:v>
                </c:pt>
                <c:pt idx="72">
                  <c:v>17.47</c:v>
                </c:pt>
                <c:pt idx="73">
                  <c:v>17.71</c:v>
                </c:pt>
                <c:pt idx="74">
                  <c:v>17.95</c:v>
                </c:pt>
                <c:pt idx="75">
                  <c:v>18.190000000000001</c:v>
                </c:pt>
                <c:pt idx="76">
                  <c:v>18.43</c:v>
                </c:pt>
                <c:pt idx="77">
                  <c:v>18.670000000000002</c:v>
                </c:pt>
                <c:pt idx="78">
                  <c:v>18.91</c:v>
                </c:pt>
                <c:pt idx="79">
                  <c:v>19.14</c:v>
                </c:pt>
                <c:pt idx="80">
                  <c:v>19.38</c:v>
                </c:pt>
                <c:pt idx="81">
                  <c:v>19.62</c:v>
                </c:pt>
                <c:pt idx="82">
                  <c:v>19.86</c:v>
                </c:pt>
                <c:pt idx="83">
                  <c:v>20.100000000000001</c:v>
                </c:pt>
                <c:pt idx="84">
                  <c:v>20.34</c:v>
                </c:pt>
                <c:pt idx="85">
                  <c:v>20.58</c:v>
                </c:pt>
                <c:pt idx="86">
                  <c:v>20.82</c:v>
                </c:pt>
                <c:pt idx="87">
                  <c:v>21.06</c:v>
                </c:pt>
                <c:pt idx="88">
                  <c:v>21.3</c:v>
                </c:pt>
                <c:pt idx="89">
                  <c:v>21.54</c:v>
                </c:pt>
                <c:pt idx="90">
                  <c:v>21.78</c:v>
                </c:pt>
                <c:pt idx="91">
                  <c:v>22.02</c:v>
                </c:pt>
                <c:pt idx="92">
                  <c:v>22.26</c:v>
                </c:pt>
                <c:pt idx="93">
                  <c:v>22.49</c:v>
                </c:pt>
                <c:pt idx="94">
                  <c:v>22.73</c:v>
                </c:pt>
                <c:pt idx="95">
                  <c:v>22.97</c:v>
                </c:pt>
                <c:pt idx="96">
                  <c:v>23.21</c:v>
                </c:pt>
                <c:pt idx="97">
                  <c:v>23.45</c:v>
                </c:pt>
                <c:pt idx="98">
                  <c:v>23.69</c:v>
                </c:pt>
                <c:pt idx="99">
                  <c:v>23.93</c:v>
                </c:pt>
                <c:pt idx="100">
                  <c:v>24.17</c:v>
                </c:pt>
                <c:pt idx="101">
                  <c:v>24.41</c:v>
                </c:pt>
                <c:pt idx="102">
                  <c:v>24.65</c:v>
                </c:pt>
                <c:pt idx="103">
                  <c:v>24.89</c:v>
                </c:pt>
                <c:pt idx="104">
                  <c:v>25.13</c:v>
                </c:pt>
                <c:pt idx="105">
                  <c:v>25.37</c:v>
                </c:pt>
                <c:pt idx="106">
                  <c:v>25.61</c:v>
                </c:pt>
                <c:pt idx="107">
                  <c:v>25.85</c:v>
                </c:pt>
                <c:pt idx="108">
                  <c:v>26.08</c:v>
                </c:pt>
                <c:pt idx="109">
                  <c:v>26.32</c:v>
                </c:pt>
                <c:pt idx="110">
                  <c:v>26.56</c:v>
                </c:pt>
                <c:pt idx="111">
                  <c:v>26.8</c:v>
                </c:pt>
                <c:pt idx="112">
                  <c:v>27.04</c:v>
                </c:pt>
                <c:pt idx="113">
                  <c:v>27.28</c:v>
                </c:pt>
                <c:pt idx="114">
                  <c:v>27.52</c:v>
                </c:pt>
                <c:pt idx="115">
                  <c:v>27.76</c:v>
                </c:pt>
                <c:pt idx="116">
                  <c:v>28</c:v>
                </c:pt>
                <c:pt idx="117">
                  <c:v>28.24</c:v>
                </c:pt>
                <c:pt idx="118">
                  <c:v>28.48</c:v>
                </c:pt>
                <c:pt idx="119">
                  <c:v>28.72</c:v>
                </c:pt>
                <c:pt idx="120">
                  <c:v>28.96</c:v>
                </c:pt>
                <c:pt idx="121">
                  <c:v>29.2</c:v>
                </c:pt>
                <c:pt idx="122">
                  <c:v>29.43</c:v>
                </c:pt>
                <c:pt idx="123">
                  <c:v>29.67</c:v>
                </c:pt>
                <c:pt idx="124">
                  <c:v>29.91</c:v>
                </c:pt>
                <c:pt idx="125">
                  <c:v>30.15</c:v>
                </c:pt>
                <c:pt idx="126">
                  <c:v>30.39</c:v>
                </c:pt>
                <c:pt idx="127">
                  <c:v>30.63</c:v>
                </c:pt>
                <c:pt idx="128">
                  <c:v>30.87</c:v>
                </c:pt>
                <c:pt idx="129">
                  <c:v>31.11</c:v>
                </c:pt>
                <c:pt idx="130">
                  <c:v>31.35</c:v>
                </c:pt>
                <c:pt idx="131">
                  <c:v>31.59</c:v>
                </c:pt>
                <c:pt idx="132">
                  <c:v>31.83</c:v>
                </c:pt>
                <c:pt idx="133">
                  <c:v>32.07</c:v>
                </c:pt>
                <c:pt idx="134">
                  <c:v>32.31</c:v>
                </c:pt>
                <c:pt idx="135">
                  <c:v>32.549999999999997</c:v>
                </c:pt>
                <c:pt idx="136">
                  <c:v>32.78</c:v>
                </c:pt>
                <c:pt idx="137">
                  <c:v>33.020000000000003</c:v>
                </c:pt>
                <c:pt idx="138">
                  <c:v>33.26</c:v>
                </c:pt>
                <c:pt idx="139">
                  <c:v>33.5</c:v>
                </c:pt>
                <c:pt idx="140">
                  <c:v>33.74</c:v>
                </c:pt>
                <c:pt idx="141">
                  <c:v>33.979999999999997</c:v>
                </c:pt>
                <c:pt idx="142">
                  <c:v>34.22</c:v>
                </c:pt>
                <c:pt idx="143">
                  <c:v>34.46</c:v>
                </c:pt>
                <c:pt idx="144">
                  <c:v>34.700000000000003</c:v>
                </c:pt>
                <c:pt idx="145">
                  <c:v>34.94</c:v>
                </c:pt>
                <c:pt idx="146">
                  <c:v>35.18</c:v>
                </c:pt>
                <c:pt idx="147">
                  <c:v>35.42</c:v>
                </c:pt>
                <c:pt idx="148">
                  <c:v>35.659999999999997</c:v>
                </c:pt>
                <c:pt idx="149">
                  <c:v>35.9</c:v>
                </c:pt>
                <c:pt idx="150">
                  <c:v>36.14</c:v>
                </c:pt>
                <c:pt idx="151">
                  <c:v>36.369999999999997</c:v>
                </c:pt>
                <c:pt idx="152">
                  <c:v>36.61</c:v>
                </c:pt>
                <c:pt idx="153">
                  <c:v>36.85</c:v>
                </c:pt>
                <c:pt idx="154">
                  <c:v>37.090000000000003</c:v>
                </c:pt>
                <c:pt idx="155">
                  <c:v>37.33</c:v>
                </c:pt>
                <c:pt idx="156">
                  <c:v>37.57</c:v>
                </c:pt>
                <c:pt idx="157">
                  <c:v>37.81</c:v>
                </c:pt>
                <c:pt idx="158">
                  <c:v>38.049999999999997</c:v>
                </c:pt>
                <c:pt idx="159">
                  <c:v>38.29</c:v>
                </c:pt>
                <c:pt idx="160">
                  <c:v>38.53</c:v>
                </c:pt>
                <c:pt idx="161">
                  <c:v>38.770000000000003</c:v>
                </c:pt>
                <c:pt idx="162">
                  <c:v>39.01</c:v>
                </c:pt>
                <c:pt idx="163">
                  <c:v>39.25</c:v>
                </c:pt>
                <c:pt idx="164">
                  <c:v>39.49</c:v>
                </c:pt>
                <c:pt idx="165">
                  <c:v>39.72</c:v>
                </c:pt>
                <c:pt idx="166">
                  <c:v>39.96</c:v>
                </c:pt>
                <c:pt idx="167">
                  <c:v>40.200000000000003</c:v>
                </c:pt>
                <c:pt idx="168">
                  <c:v>40.44</c:v>
                </c:pt>
                <c:pt idx="169">
                  <c:v>40.68</c:v>
                </c:pt>
                <c:pt idx="170">
                  <c:v>40.92</c:v>
                </c:pt>
                <c:pt idx="171">
                  <c:v>41.16</c:v>
                </c:pt>
                <c:pt idx="172">
                  <c:v>41.4</c:v>
                </c:pt>
              </c:numCache>
            </c:numRef>
          </c:xVal>
          <c:yVal>
            <c:numRef>
              <c:f>Sheet1!$K$6:$K$178</c:f>
              <c:numCache>
                <c:formatCode>General</c:formatCode>
                <c:ptCount val="173"/>
                <c:pt idx="0">
                  <c:v>76.918556666296354</c:v>
                </c:pt>
                <c:pt idx="1">
                  <c:v>41.718272942055137</c:v>
                </c:pt>
                <c:pt idx="2">
                  <c:v>29.985354150181365</c:v>
                </c:pt>
                <c:pt idx="3">
                  <c:v>24.118778796707602</c:v>
                </c:pt>
                <c:pt idx="4">
                  <c:v>20.598431849097324</c:v>
                </c:pt>
                <c:pt idx="5">
                  <c:v>18.250974798153152</c:v>
                </c:pt>
                <c:pt idx="6">
                  <c:v>16.573557256488243</c:v>
                </c:pt>
                <c:pt idx="7">
                  <c:v>15.31475705146272</c:v>
                </c:pt>
                <c:pt idx="8">
                  <c:v>14.334896409726298</c:v>
                </c:pt>
                <c:pt idx="9">
                  <c:v>13.550159849982947</c:v>
                </c:pt>
                <c:pt idx="10">
                  <c:v>12.907146738840936</c:v>
                </c:pt>
                <c:pt idx="11">
                  <c:v>12.370296795592196</c:v>
                </c:pt>
                <c:pt idx="12">
                  <c:v>11.914972481260293</c:v>
                </c:pt>
                <c:pt idx="13">
                  <c:v>11.52360260419357</c:v>
                </c:pt>
                <c:pt idx="14">
                  <c:v>11.183300518870738</c:v>
                </c:pt>
                <c:pt idx="15">
                  <c:v>10.884385581405979</c:v>
                </c:pt>
                <c:pt idx="16">
                  <c:v>10.619473373435483</c:v>
                </c:pt>
                <c:pt idx="17">
                  <c:v>10.382799799015459</c:v>
                </c:pt>
                <c:pt idx="18">
                  <c:v>10.169832774017721</c:v>
                </c:pt>
                <c:pt idx="19">
                  <c:v>9.9769302572168499</c:v>
                </c:pt>
                <c:pt idx="20">
                  <c:v>9.8011553372914477</c:v>
                </c:pt>
                <c:pt idx="21">
                  <c:v>9.6400975923143903</c:v>
                </c:pt>
                <c:pt idx="22">
                  <c:v>9.4917676003439055</c:v>
                </c:pt>
                <c:pt idx="23">
                  <c:v>9.3545092771664713</c:v>
                </c:pt>
                <c:pt idx="24">
                  <c:v>9.2269256006940452</c:v>
                </c:pt>
                <c:pt idx="25">
                  <c:v>9.1078416863965401</c:v>
                </c:pt>
                <c:pt idx="26">
                  <c:v>8.9962478725014421</c:v>
                </c:pt>
                <c:pt idx="27">
                  <c:v>8.8912864621409256</c:v>
                </c:pt>
                <c:pt idx="28">
                  <c:v>8.7922105768665233</c:v>
                </c:pt>
                <c:pt idx="29">
                  <c:v>8.6983778551016826</c:v>
                </c:pt>
                <c:pt idx="30">
                  <c:v>8.6092251040899157</c:v>
                </c:pt>
                <c:pt idx="31">
                  <c:v>8.5242601132388529</c:v>
                </c:pt>
                <c:pt idx="32">
                  <c:v>8.4430509878710609</c:v>
                </c:pt>
                <c:pt idx="33">
                  <c:v>8.3652134214646026</c:v>
                </c:pt>
                <c:pt idx="34">
                  <c:v>8.29041047903047</c:v>
                </c:pt>
                <c:pt idx="35">
                  <c:v>8.218337829004895</c:v>
                </c:pt>
                <c:pt idx="36">
                  <c:v>8.1487278830160221</c:v>
                </c:pt>
                <c:pt idx="37">
                  <c:v>8.0813369647729587</c:v>
                </c:pt>
                <c:pt idx="38">
                  <c:v>8.0159488363053697</c:v>
                </c:pt>
                <c:pt idx="39">
                  <c:v>7.952366595780461</c:v>
                </c:pt>
                <c:pt idx="40">
                  <c:v>7.890412632050527</c:v>
                </c:pt>
                <c:pt idx="41">
                  <c:v>7.8299263949344606</c:v>
                </c:pt>
                <c:pt idx="42">
                  <c:v>7.7707601577161824</c:v>
                </c:pt>
                <c:pt idx="43">
                  <c:v>7.7127814262779424</c:v>
                </c:pt>
                <c:pt idx="44">
                  <c:v>7.6558663558395637</c:v>
                </c:pt>
                <c:pt idx="45">
                  <c:v>7.5999039776040007</c:v>
                </c:pt>
                <c:pt idx="46">
                  <c:v>7.5447899029402663</c:v>
                </c:pt>
                <c:pt idx="47">
                  <c:v>7.4904297586460586</c:v>
                </c:pt>
                <c:pt idx="48">
                  <c:v>7.4367351767495506</c:v>
                </c:pt>
                <c:pt idx="49">
                  <c:v>7.3836246938533208</c:v>
                </c:pt>
                <c:pt idx="50">
                  <c:v>7.3310231105671448</c:v>
                </c:pt>
                <c:pt idx="51">
                  <c:v>7.2788593543033357</c:v>
                </c:pt>
                <c:pt idx="52">
                  <c:v>7.2270687726567502</c:v>
                </c:pt>
                <c:pt idx="53">
                  <c:v>7.1755893981560632</c:v>
                </c:pt>
                <c:pt idx="54">
                  <c:v>7.1243644892600031</c:v>
                </c:pt>
                <c:pt idx="55">
                  <c:v>7.073339127362857</c:v>
                </c:pt>
                <c:pt idx="56">
                  <c:v>7.0224633727052463</c:v>
                </c:pt>
                <c:pt idx="57">
                  <c:v>6.9716891573351347</c:v>
                </c:pt>
                <c:pt idx="58">
                  <c:v>6.9209716471236931</c:v>
                </c:pt>
                <c:pt idx="59">
                  <c:v>6.8702677662220992</c:v>
                </c:pt>
                <c:pt idx="60">
                  <c:v>6.8195369045699579</c:v>
                </c:pt>
                <c:pt idx="61">
                  <c:v>6.768740717234877</c:v>
                </c:pt>
                <c:pt idx="62">
                  <c:v>6.7178422438736902</c:v>
                </c:pt>
                <c:pt idx="63">
                  <c:v>6.6668065208320115</c:v>
                </c:pt>
                <c:pt idx="64">
                  <c:v>6.6155994328133971</c:v>
                </c:pt>
                <c:pt idx="65">
                  <c:v>6.5641892763739378</c:v>
                </c:pt>
                <c:pt idx="66">
                  <c:v>6.5125445562631654</c:v>
                </c:pt>
                <c:pt idx="67">
                  <c:v>6.4606358157114414</c:v>
                </c:pt>
                <c:pt idx="68">
                  <c:v>6.408433763025414</c:v>
                </c:pt>
                <c:pt idx="69">
                  <c:v>6.3559108478032442</c:v>
                </c:pt>
                <c:pt idx="70">
                  <c:v>6.3030395917003688</c:v>
                </c:pt>
                <c:pt idx="71">
                  <c:v>6.2497940090260471</c:v>
                </c:pt>
                <c:pt idx="72">
                  <c:v>6.1961480998183163</c:v>
                </c:pt>
                <c:pt idx="73">
                  <c:v>6.142077150869909</c:v>
                </c:pt>
                <c:pt idx="74">
                  <c:v>6.0875563517719655</c:v>
                </c:pt>
                <c:pt idx="75">
                  <c:v>6.032562008751114</c:v>
                </c:pt>
                <c:pt idx="76">
                  <c:v>5.9770702491479994</c:v>
                </c:pt>
                <c:pt idx="77">
                  <c:v>5.9210581786714584</c:v>
                </c:pt>
                <c:pt idx="78">
                  <c:v>5.8645026413087464</c:v>
                </c:pt>
                <c:pt idx="79">
                  <c:v>5.8073813468712103</c:v>
                </c:pt>
                <c:pt idx="80">
                  <c:v>5.7496716596851343</c:v>
                </c:pt>
                <c:pt idx="81">
                  <c:v>5.6913517207885747</c:v>
                </c:pt>
                <c:pt idx="82">
                  <c:v>5.6323994985839931</c:v>
                </c:pt>
                <c:pt idx="83">
                  <c:v>5.5727932587989528</c:v>
                </c:pt>
                <c:pt idx="84">
                  <c:v>5.5125112795364259</c:v>
                </c:pt>
                <c:pt idx="85">
                  <c:v>5.4515316550402417</c:v>
                </c:pt>
                <c:pt idx="86">
                  <c:v>5.3898326716655944</c:v>
                </c:pt>
                <c:pt idx="87">
                  <c:v>5.3273926279678747</c:v>
                </c:pt>
                <c:pt idx="88">
                  <c:v>5.2641895566379873</c:v>
                </c:pt>
                <c:pt idx="89">
                  <c:v>5.2002015719118191</c:v>
                </c:pt>
                <c:pt idx="90">
                  <c:v>5.135406703150359</c:v>
                </c:pt>
                <c:pt idx="91">
                  <c:v>5.0697826363211931</c:v>
                </c:pt>
                <c:pt idx="92">
                  <c:v>5.0033070360152365</c:v>
                </c:pt>
                <c:pt idx="93">
                  <c:v>4.935957390857709</c:v>
                </c:pt>
                <c:pt idx="94">
                  <c:v>4.8677107710111329</c:v>
                </c:pt>
                <c:pt idx="95">
                  <c:v>4.7985441276724785</c:v>
                </c:pt>
                <c:pt idx="96">
                  <c:v>4.7284341472367188</c:v>
                </c:pt>
                <c:pt idx="97">
                  <c:v>4.6573569266993431</c:v>
                </c:pt>
                <c:pt idx="98">
                  <c:v>4.5852888237707106</c:v>
                </c:pt>
                <c:pt idx="99">
                  <c:v>4.5122053469543175</c:v>
                </c:pt>
                <c:pt idx="100">
                  <c:v>4.4380815199018997</c:v>
                </c:pt>
                <c:pt idx="101">
                  <c:v>4.362891972040039</c:v>
                </c:pt>
                <c:pt idx="102">
                  <c:v>4.2866105823855634</c:v>
                </c:pt>
                <c:pt idx="103">
                  <c:v>4.2092109985829751</c:v>
                </c:pt>
                <c:pt idx="104">
                  <c:v>4.1306665831466489</c:v>
                </c:pt>
                <c:pt idx="105">
                  <c:v>4.050950341289699</c:v>
                </c:pt>
                <c:pt idx="106">
                  <c:v>3.9700343962457794</c:v>
                </c:pt>
                <c:pt idx="107">
                  <c:v>3.8878899561177818</c:v>
                </c:pt>
                <c:pt idx="108">
                  <c:v>3.8044879178783404</c:v>
                </c:pt>
                <c:pt idx="109">
                  <c:v>3.7197982406757646</c:v>
                </c:pt>
                <c:pt idx="110">
                  <c:v>3.6337903199656409</c:v>
                </c:pt>
                <c:pt idx="111">
                  <c:v>3.546432372185194</c:v>
                </c:pt>
                <c:pt idx="112">
                  <c:v>3.4576922004513335</c:v>
                </c:pt>
                <c:pt idx="113">
                  <c:v>3.3675367482085505</c:v>
                </c:pt>
                <c:pt idx="114">
                  <c:v>3.275932045889391</c:v>
                </c:pt>
                <c:pt idx="115">
                  <c:v>3.1828433896219934</c:v>
                </c:pt>
                <c:pt idx="116">
                  <c:v>3.0882348101465737</c:v>
                </c:pt>
                <c:pt idx="117">
                  <c:v>2.9920690361927242</c:v>
                </c:pt>
                <c:pt idx="118">
                  <c:v>2.8943077527451138</c:v>
                </c:pt>
                <c:pt idx="119">
                  <c:v>2.7949119463264367</c:v>
                </c:pt>
                <c:pt idx="120">
                  <c:v>2.6938410344037678</c:v>
                </c:pt>
                <c:pt idx="121">
                  <c:v>2.5910533560211988</c:v>
                </c:pt>
                <c:pt idx="122">
                  <c:v>2.4865060868293654</c:v>
                </c:pt>
                <c:pt idx="123">
                  <c:v>2.3801547201988669</c:v>
                </c:pt>
                <c:pt idx="124">
                  <c:v>2.2719532307826853</c:v>
                </c:pt>
                <c:pt idx="125">
                  <c:v>2.1618544176662269</c:v>
                </c:pt>
                <c:pt idx="126">
                  <c:v>2.0498093423899277</c:v>
                </c:pt>
                <c:pt idx="127">
                  <c:v>1.9357671838292063</c:v>
                </c:pt>
                <c:pt idx="128">
                  <c:v>1.8196755836973466</c:v>
                </c:pt>
                <c:pt idx="129">
                  <c:v>1.7014803923768653</c:v>
                </c:pt>
                <c:pt idx="130">
                  <c:v>1.5811252648939771</c:v>
                </c:pt>
                <c:pt idx="131">
                  <c:v>1.4585520488708568</c:v>
                </c:pt>
                <c:pt idx="132">
                  <c:v>1.3337004675937507</c:v>
                </c:pt>
                <c:pt idx="133">
                  <c:v>1.206507798904795</c:v>
                </c:pt>
                <c:pt idx="134">
                  <c:v>1.0769092204876074</c:v>
                </c:pt>
                <c:pt idx="135">
                  <c:v>0.94483734419536347</c:v>
                </c:pt>
                <c:pt idx="136">
                  <c:v>0.81022199625203939</c:v>
                </c:pt>
                <c:pt idx="137">
                  <c:v>0.67299016034296244</c:v>
                </c:pt>
                <c:pt idx="138">
                  <c:v>0.5330661785495181</c:v>
                </c:pt>
                <c:pt idx="139">
                  <c:v>0.3903712132973709</c:v>
                </c:pt>
                <c:pt idx="140">
                  <c:v>0.24482308519942819</c:v>
                </c:pt>
                <c:pt idx="141">
                  <c:v>9.6336445481881583E-2</c:v>
                </c:pt>
                <c:pt idx="142">
                  <c:v>5.5177867443575224E-2</c:v>
                </c:pt>
                <c:pt idx="143">
                  <c:v>0.2098128384279363</c:v>
                </c:pt>
                <c:pt idx="144">
                  <c:v>0.36766530627283345</c:v>
                </c:pt>
                <c:pt idx="145">
                  <c:v>0.52883653344093062</c:v>
                </c:pt>
                <c:pt idx="146">
                  <c:v>0.69343245265078224</c:v>
                </c:pt>
                <c:pt idx="147">
                  <c:v>0.86156361063689957</c:v>
                </c:pt>
                <c:pt idx="148">
                  <c:v>1.0333456349716883</c:v>
                </c:pt>
                <c:pt idx="149">
                  <c:v>1.2088997504619243</c:v>
                </c:pt>
                <c:pt idx="150">
                  <c:v>1.3883526808731617</c:v>
                </c:pt>
                <c:pt idx="151">
                  <c:v>1.5718373677160713</c:v>
                </c:pt>
                <c:pt idx="152">
                  <c:v>1.7594933711619447</c:v>
                </c:pt>
                <c:pt idx="153">
                  <c:v>1.9514669360496093</c:v>
                </c:pt>
                <c:pt idx="154">
                  <c:v>2.1479118060833216</c:v>
                </c:pt>
                <c:pt idx="155">
                  <c:v>2.3489897646452107</c:v>
                </c:pt>
                <c:pt idx="156">
                  <c:v>2.5548708903454553</c:v>
                </c:pt>
                <c:pt idx="157">
                  <c:v>2.7657341395720181</c:v>
                </c:pt>
                <c:pt idx="158">
                  <c:v>2.9817683061924747</c:v>
                </c:pt>
                <c:pt idx="159">
                  <c:v>3.2031722932570545</c:v>
                </c:pt>
                <c:pt idx="160">
                  <c:v>3.4301560789308922</c:v>
                </c:pt>
                <c:pt idx="161">
                  <c:v>3.6629416213235366</c:v>
                </c:pt>
                <c:pt idx="162">
                  <c:v>3.9017636494438364</c:v>
                </c:pt>
                <c:pt idx="163">
                  <c:v>4.1468706412064869</c:v>
                </c:pt>
                <c:pt idx="164">
                  <c:v>4.3985259344599896</c:v>
                </c:pt>
                <c:pt idx="165">
                  <c:v>4.6570087989926492</c:v>
                </c:pt>
                <c:pt idx="166">
                  <c:v>4.92261571976913</c:v>
                </c:pt>
                <c:pt idx="167">
                  <c:v>5.1956618797808538</c:v>
                </c:pt>
                <c:pt idx="168">
                  <c:v>5.4764826914306894</c:v>
                </c:pt>
                <c:pt idx="169">
                  <c:v>5.7654355501250159</c:v>
                </c:pt>
                <c:pt idx="170">
                  <c:v>6.0629016638091358</c:v>
                </c:pt>
                <c:pt idx="171">
                  <c:v>6.3692885463496047</c:v>
                </c:pt>
                <c:pt idx="172">
                  <c:v>6.6850305583607863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2-43EC-86F7-65EB34B43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340031"/>
        <c:axId val="1713340511"/>
      </c:scatterChart>
      <c:valAx>
        <c:axId val="171334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Steering</a:t>
                </a:r>
                <a:r>
                  <a:rPr lang="en-US" baseline="0"/>
                  <a:t> Angle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340511"/>
        <c:crosses val="autoZero"/>
        <c:crossBetween val="midCat"/>
      </c:valAx>
      <c:valAx>
        <c:axId val="171334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34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Steering angle vs Radius of rotation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FF00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0758905136857892"/>
                  <c:y val="1.32456859182194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Sheet1!$L$41:$L$178</c:f>
              <c:numCache>
                <c:formatCode>General</c:formatCode>
                <c:ptCount val="138"/>
                <c:pt idx="0">
                  <c:v>151.09</c:v>
                </c:pt>
                <c:pt idx="1">
                  <c:v>146.96</c:v>
                </c:pt>
                <c:pt idx="2">
                  <c:v>143.04</c:v>
                </c:pt>
                <c:pt idx="3">
                  <c:v>139.33000000000001</c:v>
                </c:pt>
                <c:pt idx="4">
                  <c:v>135.80000000000001</c:v>
                </c:pt>
                <c:pt idx="5">
                  <c:v>132.44</c:v>
                </c:pt>
                <c:pt idx="6">
                  <c:v>129.24</c:v>
                </c:pt>
                <c:pt idx="7">
                  <c:v>126.18</c:v>
                </c:pt>
                <c:pt idx="8">
                  <c:v>123.27</c:v>
                </c:pt>
                <c:pt idx="9">
                  <c:v>120.48</c:v>
                </c:pt>
                <c:pt idx="10">
                  <c:v>117.82</c:v>
                </c:pt>
                <c:pt idx="11">
                  <c:v>115.26</c:v>
                </c:pt>
                <c:pt idx="12">
                  <c:v>112.81</c:v>
                </c:pt>
                <c:pt idx="13">
                  <c:v>110.46</c:v>
                </c:pt>
                <c:pt idx="14">
                  <c:v>108.21</c:v>
                </c:pt>
                <c:pt idx="15">
                  <c:v>106.04</c:v>
                </c:pt>
                <c:pt idx="16">
                  <c:v>103.95</c:v>
                </c:pt>
                <c:pt idx="17">
                  <c:v>101.94</c:v>
                </c:pt>
                <c:pt idx="18">
                  <c:v>100.01</c:v>
                </c:pt>
                <c:pt idx="19">
                  <c:v>98.14</c:v>
                </c:pt>
                <c:pt idx="20">
                  <c:v>96.35</c:v>
                </c:pt>
                <c:pt idx="21">
                  <c:v>94.61</c:v>
                </c:pt>
                <c:pt idx="22">
                  <c:v>92.93</c:v>
                </c:pt>
                <c:pt idx="23">
                  <c:v>91.31</c:v>
                </c:pt>
                <c:pt idx="24">
                  <c:v>89.74</c:v>
                </c:pt>
                <c:pt idx="25">
                  <c:v>88.23</c:v>
                </c:pt>
                <c:pt idx="26">
                  <c:v>86.76</c:v>
                </c:pt>
                <c:pt idx="27">
                  <c:v>85.33</c:v>
                </c:pt>
                <c:pt idx="28">
                  <c:v>83.95</c:v>
                </c:pt>
                <c:pt idx="29">
                  <c:v>82.62</c:v>
                </c:pt>
                <c:pt idx="30">
                  <c:v>81.319999999999993</c:v>
                </c:pt>
                <c:pt idx="31">
                  <c:v>80.06</c:v>
                </c:pt>
                <c:pt idx="32">
                  <c:v>78.84</c:v>
                </c:pt>
                <c:pt idx="33">
                  <c:v>77.650000000000006</c:v>
                </c:pt>
                <c:pt idx="34">
                  <c:v>76.5</c:v>
                </c:pt>
                <c:pt idx="35">
                  <c:v>75.37</c:v>
                </c:pt>
                <c:pt idx="36">
                  <c:v>74.28</c:v>
                </c:pt>
                <c:pt idx="37">
                  <c:v>73.22</c:v>
                </c:pt>
                <c:pt idx="38">
                  <c:v>72.19</c:v>
                </c:pt>
                <c:pt idx="39">
                  <c:v>71.180000000000007</c:v>
                </c:pt>
                <c:pt idx="40">
                  <c:v>70.2</c:v>
                </c:pt>
                <c:pt idx="41">
                  <c:v>69.239999999999995</c:v>
                </c:pt>
                <c:pt idx="42">
                  <c:v>68.31</c:v>
                </c:pt>
                <c:pt idx="43">
                  <c:v>67.400000000000006</c:v>
                </c:pt>
                <c:pt idx="44">
                  <c:v>66.52</c:v>
                </c:pt>
                <c:pt idx="45">
                  <c:v>65.650000000000006</c:v>
                </c:pt>
                <c:pt idx="46">
                  <c:v>64.81</c:v>
                </c:pt>
                <c:pt idx="47">
                  <c:v>63.99</c:v>
                </c:pt>
                <c:pt idx="48">
                  <c:v>63.18</c:v>
                </c:pt>
                <c:pt idx="49">
                  <c:v>62.39</c:v>
                </c:pt>
                <c:pt idx="50">
                  <c:v>61.63</c:v>
                </c:pt>
                <c:pt idx="51">
                  <c:v>60.88</c:v>
                </c:pt>
                <c:pt idx="52">
                  <c:v>60.14</c:v>
                </c:pt>
                <c:pt idx="53">
                  <c:v>59.42</c:v>
                </c:pt>
                <c:pt idx="54">
                  <c:v>58.72</c:v>
                </c:pt>
                <c:pt idx="55">
                  <c:v>58.04</c:v>
                </c:pt>
                <c:pt idx="56">
                  <c:v>57.36</c:v>
                </c:pt>
                <c:pt idx="57">
                  <c:v>56.71</c:v>
                </c:pt>
                <c:pt idx="58">
                  <c:v>56.06</c:v>
                </c:pt>
                <c:pt idx="59">
                  <c:v>55.43</c:v>
                </c:pt>
                <c:pt idx="60">
                  <c:v>54.81</c:v>
                </c:pt>
                <c:pt idx="61">
                  <c:v>54.21</c:v>
                </c:pt>
                <c:pt idx="62">
                  <c:v>53.61</c:v>
                </c:pt>
                <c:pt idx="63">
                  <c:v>53.03</c:v>
                </c:pt>
                <c:pt idx="64">
                  <c:v>52.46</c:v>
                </c:pt>
                <c:pt idx="65">
                  <c:v>51.9</c:v>
                </c:pt>
                <c:pt idx="66">
                  <c:v>51.36</c:v>
                </c:pt>
                <c:pt idx="67">
                  <c:v>50.82</c:v>
                </c:pt>
                <c:pt idx="68">
                  <c:v>50.29</c:v>
                </c:pt>
                <c:pt idx="69">
                  <c:v>49.77</c:v>
                </c:pt>
                <c:pt idx="70">
                  <c:v>49.27</c:v>
                </c:pt>
                <c:pt idx="71">
                  <c:v>48.77</c:v>
                </c:pt>
                <c:pt idx="72">
                  <c:v>48.28</c:v>
                </c:pt>
                <c:pt idx="73">
                  <c:v>47.8</c:v>
                </c:pt>
                <c:pt idx="74">
                  <c:v>47.33</c:v>
                </c:pt>
                <c:pt idx="75">
                  <c:v>46.87</c:v>
                </c:pt>
                <c:pt idx="76">
                  <c:v>46.41</c:v>
                </c:pt>
                <c:pt idx="77">
                  <c:v>45.97</c:v>
                </c:pt>
                <c:pt idx="78">
                  <c:v>45.53</c:v>
                </c:pt>
                <c:pt idx="79">
                  <c:v>45.1</c:v>
                </c:pt>
                <c:pt idx="80">
                  <c:v>44.67</c:v>
                </c:pt>
                <c:pt idx="81">
                  <c:v>44.26</c:v>
                </c:pt>
                <c:pt idx="82">
                  <c:v>43.85</c:v>
                </c:pt>
                <c:pt idx="83">
                  <c:v>43.45</c:v>
                </c:pt>
                <c:pt idx="84">
                  <c:v>43.05</c:v>
                </c:pt>
                <c:pt idx="85">
                  <c:v>42.66</c:v>
                </c:pt>
                <c:pt idx="86">
                  <c:v>42.28</c:v>
                </c:pt>
                <c:pt idx="87">
                  <c:v>41.91</c:v>
                </c:pt>
                <c:pt idx="88">
                  <c:v>41.54</c:v>
                </c:pt>
                <c:pt idx="89">
                  <c:v>41.17</c:v>
                </c:pt>
                <c:pt idx="90">
                  <c:v>40.82</c:v>
                </c:pt>
                <c:pt idx="91">
                  <c:v>40.47</c:v>
                </c:pt>
                <c:pt idx="92">
                  <c:v>40.119999999999997</c:v>
                </c:pt>
                <c:pt idx="93">
                  <c:v>39.78</c:v>
                </c:pt>
                <c:pt idx="94">
                  <c:v>39.450000000000003</c:v>
                </c:pt>
                <c:pt idx="95">
                  <c:v>39.119999999999997</c:v>
                </c:pt>
                <c:pt idx="96">
                  <c:v>38.799999999999997</c:v>
                </c:pt>
                <c:pt idx="97">
                  <c:v>38.479999999999997</c:v>
                </c:pt>
                <c:pt idx="98">
                  <c:v>38.17</c:v>
                </c:pt>
                <c:pt idx="99">
                  <c:v>37.86</c:v>
                </c:pt>
                <c:pt idx="100">
                  <c:v>37.56</c:v>
                </c:pt>
                <c:pt idx="101">
                  <c:v>37.26</c:v>
                </c:pt>
                <c:pt idx="102">
                  <c:v>36.97</c:v>
                </c:pt>
                <c:pt idx="103">
                  <c:v>36.68</c:v>
                </c:pt>
                <c:pt idx="104">
                  <c:v>36.39</c:v>
                </c:pt>
                <c:pt idx="105">
                  <c:v>36.119999999999997</c:v>
                </c:pt>
                <c:pt idx="106">
                  <c:v>35.840000000000003</c:v>
                </c:pt>
                <c:pt idx="107">
                  <c:v>35.57</c:v>
                </c:pt>
                <c:pt idx="108">
                  <c:v>35.31</c:v>
                </c:pt>
                <c:pt idx="109">
                  <c:v>35.049999999999997</c:v>
                </c:pt>
                <c:pt idx="110">
                  <c:v>34.79</c:v>
                </c:pt>
                <c:pt idx="111">
                  <c:v>34.54</c:v>
                </c:pt>
                <c:pt idx="112">
                  <c:v>34.29</c:v>
                </c:pt>
                <c:pt idx="113">
                  <c:v>34.049999999999997</c:v>
                </c:pt>
                <c:pt idx="114">
                  <c:v>33.81</c:v>
                </c:pt>
                <c:pt idx="115">
                  <c:v>33.58</c:v>
                </c:pt>
                <c:pt idx="116">
                  <c:v>33.35</c:v>
                </c:pt>
                <c:pt idx="117">
                  <c:v>33.119999999999997</c:v>
                </c:pt>
                <c:pt idx="118">
                  <c:v>32.9</c:v>
                </c:pt>
                <c:pt idx="119">
                  <c:v>32.68</c:v>
                </c:pt>
                <c:pt idx="120">
                  <c:v>32.47</c:v>
                </c:pt>
                <c:pt idx="121">
                  <c:v>32.26</c:v>
                </c:pt>
                <c:pt idx="122">
                  <c:v>32.06</c:v>
                </c:pt>
                <c:pt idx="123">
                  <c:v>31.86</c:v>
                </c:pt>
                <c:pt idx="124">
                  <c:v>31.66</c:v>
                </c:pt>
                <c:pt idx="125">
                  <c:v>31.47</c:v>
                </c:pt>
                <c:pt idx="126">
                  <c:v>31.28</c:v>
                </c:pt>
                <c:pt idx="127">
                  <c:v>31.1</c:v>
                </c:pt>
                <c:pt idx="128">
                  <c:v>30.92</c:v>
                </c:pt>
                <c:pt idx="129">
                  <c:v>30.74</c:v>
                </c:pt>
                <c:pt idx="130">
                  <c:v>30.57</c:v>
                </c:pt>
                <c:pt idx="131">
                  <c:v>30.41</c:v>
                </c:pt>
                <c:pt idx="132">
                  <c:v>30.25</c:v>
                </c:pt>
                <c:pt idx="133">
                  <c:v>30.09</c:v>
                </c:pt>
                <c:pt idx="134">
                  <c:v>29.94</c:v>
                </c:pt>
                <c:pt idx="135">
                  <c:v>29.79</c:v>
                </c:pt>
                <c:pt idx="136">
                  <c:v>29.65</c:v>
                </c:pt>
                <c:pt idx="137">
                  <c:v>29.51</c:v>
                </c:pt>
              </c:numCache>
            </c:numRef>
          </c:xVal>
          <c:yVal>
            <c:numRef>
              <c:f>Sheet1!$H$41:$H$178</c:f>
              <c:numCache>
                <c:formatCode>0.0000E+00</c:formatCode>
                <c:ptCount val="138"/>
                <c:pt idx="0">
                  <c:v>8.6199999999999992</c:v>
                </c:pt>
                <c:pt idx="1">
                  <c:v>8.85</c:v>
                </c:pt>
                <c:pt idx="2">
                  <c:v>9.09</c:v>
                </c:pt>
                <c:pt idx="3">
                  <c:v>9.33</c:v>
                </c:pt>
                <c:pt idx="4">
                  <c:v>9.57</c:v>
                </c:pt>
                <c:pt idx="5">
                  <c:v>9.81</c:v>
                </c:pt>
                <c:pt idx="6">
                  <c:v>10.050000000000001</c:v>
                </c:pt>
                <c:pt idx="7">
                  <c:v>10.29</c:v>
                </c:pt>
                <c:pt idx="8">
                  <c:v>10.53</c:v>
                </c:pt>
                <c:pt idx="9">
                  <c:v>10.77</c:v>
                </c:pt>
                <c:pt idx="10">
                  <c:v>11.01</c:v>
                </c:pt>
                <c:pt idx="11">
                  <c:v>11.25</c:v>
                </c:pt>
                <c:pt idx="12">
                  <c:v>11.49</c:v>
                </c:pt>
                <c:pt idx="13">
                  <c:v>11.73</c:v>
                </c:pt>
                <c:pt idx="14">
                  <c:v>11.97</c:v>
                </c:pt>
                <c:pt idx="15">
                  <c:v>12.2</c:v>
                </c:pt>
                <c:pt idx="16">
                  <c:v>12.44</c:v>
                </c:pt>
                <c:pt idx="17">
                  <c:v>12.68</c:v>
                </c:pt>
                <c:pt idx="18">
                  <c:v>12.92</c:v>
                </c:pt>
                <c:pt idx="19">
                  <c:v>13.16</c:v>
                </c:pt>
                <c:pt idx="20">
                  <c:v>13.4</c:v>
                </c:pt>
                <c:pt idx="21">
                  <c:v>13.64</c:v>
                </c:pt>
                <c:pt idx="22">
                  <c:v>13.88</c:v>
                </c:pt>
                <c:pt idx="23">
                  <c:v>14.12</c:v>
                </c:pt>
                <c:pt idx="24">
                  <c:v>14.36</c:v>
                </c:pt>
                <c:pt idx="25">
                  <c:v>14.6</c:v>
                </c:pt>
                <c:pt idx="26">
                  <c:v>14.84</c:v>
                </c:pt>
                <c:pt idx="27">
                  <c:v>15.08</c:v>
                </c:pt>
                <c:pt idx="28">
                  <c:v>15.32</c:v>
                </c:pt>
                <c:pt idx="29">
                  <c:v>15.55</c:v>
                </c:pt>
                <c:pt idx="30">
                  <c:v>15.79</c:v>
                </c:pt>
                <c:pt idx="31">
                  <c:v>16.03</c:v>
                </c:pt>
                <c:pt idx="32">
                  <c:v>16.27</c:v>
                </c:pt>
                <c:pt idx="33">
                  <c:v>16.510000000000002</c:v>
                </c:pt>
                <c:pt idx="34">
                  <c:v>16.75</c:v>
                </c:pt>
                <c:pt idx="35">
                  <c:v>16.989999999999998</c:v>
                </c:pt>
                <c:pt idx="36">
                  <c:v>17.23</c:v>
                </c:pt>
                <c:pt idx="37">
                  <c:v>17.47</c:v>
                </c:pt>
                <c:pt idx="38">
                  <c:v>17.71</c:v>
                </c:pt>
                <c:pt idx="39">
                  <c:v>17.95</c:v>
                </c:pt>
                <c:pt idx="40">
                  <c:v>18.190000000000001</c:v>
                </c:pt>
                <c:pt idx="41">
                  <c:v>18.43</c:v>
                </c:pt>
                <c:pt idx="42">
                  <c:v>18.670000000000002</c:v>
                </c:pt>
                <c:pt idx="43">
                  <c:v>18.91</c:v>
                </c:pt>
                <c:pt idx="44">
                  <c:v>19.14</c:v>
                </c:pt>
                <c:pt idx="45">
                  <c:v>19.38</c:v>
                </c:pt>
                <c:pt idx="46">
                  <c:v>19.62</c:v>
                </c:pt>
                <c:pt idx="47">
                  <c:v>19.86</c:v>
                </c:pt>
                <c:pt idx="48">
                  <c:v>20.100000000000001</c:v>
                </c:pt>
                <c:pt idx="49">
                  <c:v>20.34</c:v>
                </c:pt>
                <c:pt idx="50">
                  <c:v>20.58</c:v>
                </c:pt>
                <c:pt idx="51">
                  <c:v>20.82</c:v>
                </c:pt>
                <c:pt idx="52">
                  <c:v>21.06</c:v>
                </c:pt>
                <c:pt idx="53">
                  <c:v>21.3</c:v>
                </c:pt>
                <c:pt idx="54">
                  <c:v>21.54</c:v>
                </c:pt>
                <c:pt idx="55">
                  <c:v>21.78</c:v>
                </c:pt>
                <c:pt idx="56">
                  <c:v>22.02</c:v>
                </c:pt>
                <c:pt idx="57">
                  <c:v>22.26</c:v>
                </c:pt>
                <c:pt idx="58">
                  <c:v>22.49</c:v>
                </c:pt>
                <c:pt idx="59">
                  <c:v>22.73</c:v>
                </c:pt>
                <c:pt idx="60">
                  <c:v>22.97</c:v>
                </c:pt>
                <c:pt idx="61">
                  <c:v>23.21</c:v>
                </c:pt>
                <c:pt idx="62">
                  <c:v>23.45</c:v>
                </c:pt>
                <c:pt idx="63">
                  <c:v>23.69</c:v>
                </c:pt>
                <c:pt idx="64">
                  <c:v>23.93</c:v>
                </c:pt>
                <c:pt idx="65">
                  <c:v>24.17</c:v>
                </c:pt>
                <c:pt idx="66">
                  <c:v>24.41</c:v>
                </c:pt>
                <c:pt idx="67">
                  <c:v>24.65</c:v>
                </c:pt>
                <c:pt idx="68">
                  <c:v>24.89</c:v>
                </c:pt>
                <c:pt idx="69">
                  <c:v>25.13</c:v>
                </c:pt>
                <c:pt idx="70">
                  <c:v>25.37</c:v>
                </c:pt>
                <c:pt idx="71">
                  <c:v>25.61</c:v>
                </c:pt>
                <c:pt idx="72">
                  <c:v>25.85</c:v>
                </c:pt>
                <c:pt idx="73">
                  <c:v>26.08</c:v>
                </c:pt>
                <c:pt idx="74">
                  <c:v>26.32</c:v>
                </c:pt>
                <c:pt idx="75">
                  <c:v>26.56</c:v>
                </c:pt>
                <c:pt idx="76">
                  <c:v>26.8</c:v>
                </c:pt>
                <c:pt idx="77">
                  <c:v>27.04</c:v>
                </c:pt>
                <c:pt idx="78">
                  <c:v>27.28</c:v>
                </c:pt>
                <c:pt idx="79">
                  <c:v>27.52</c:v>
                </c:pt>
                <c:pt idx="80">
                  <c:v>27.76</c:v>
                </c:pt>
                <c:pt idx="81">
                  <c:v>28</c:v>
                </c:pt>
                <c:pt idx="82">
                  <c:v>28.24</c:v>
                </c:pt>
                <c:pt idx="83">
                  <c:v>28.48</c:v>
                </c:pt>
                <c:pt idx="84">
                  <c:v>28.72</c:v>
                </c:pt>
                <c:pt idx="85">
                  <c:v>28.96</c:v>
                </c:pt>
                <c:pt idx="86">
                  <c:v>29.2</c:v>
                </c:pt>
                <c:pt idx="87">
                  <c:v>29.43</c:v>
                </c:pt>
                <c:pt idx="88">
                  <c:v>29.67</c:v>
                </c:pt>
                <c:pt idx="89">
                  <c:v>29.91</c:v>
                </c:pt>
                <c:pt idx="90">
                  <c:v>30.15</c:v>
                </c:pt>
                <c:pt idx="91">
                  <c:v>30.39</c:v>
                </c:pt>
                <c:pt idx="92">
                  <c:v>30.63</c:v>
                </c:pt>
                <c:pt idx="93">
                  <c:v>30.87</c:v>
                </c:pt>
                <c:pt idx="94">
                  <c:v>31.11</c:v>
                </c:pt>
                <c:pt idx="95">
                  <c:v>31.35</c:v>
                </c:pt>
                <c:pt idx="96">
                  <c:v>31.59</c:v>
                </c:pt>
                <c:pt idx="97">
                  <c:v>31.83</c:v>
                </c:pt>
                <c:pt idx="98">
                  <c:v>32.07</c:v>
                </c:pt>
                <c:pt idx="99">
                  <c:v>32.31</c:v>
                </c:pt>
                <c:pt idx="100">
                  <c:v>32.549999999999997</c:v>
                </c:pt>
                <c:pt idx="101">
                  <c:v>32.78</c:v>
                </c:pt>
                <c:pt idx="102">
                  <c:v>33.020000000000003</c:v>
                </c:pt>
                <c:pt idx="103">
                  <c:v>33.26</c:v>
                </c:pt>
                <c:pt idx="104">
                  <c:v>33.5</c:v>
                </c:pt>
                <c:pt idx="105">
                  <c:v>33.74</c:v>
                </c:pt>
                <c:pt idx="106">
                  <c:v>33.979999999999997</c:v>
                </c:pt>
                <c:pt idx="107">
                  <c:v>34.22</c:v>
                </c:pt>
                <c:pt idx="108">
                  <c:v>34.46</c:v>
                </c:pt>
                <c:pt idx="109">
                  <c:v>34.700000000000003</c:v>
                </c:pt>
                <c:pt idx="110">
                  <c:v>34.94</c:v>
                </c:pt>
                <c:pt idx="111">
                  <c:v>35.18</c:v>
                </c:pt>
                <c:pt idx="112">
                  <c:v>35.42</c:v>
                </c:pt>
                <c:pt idx="113">
                  <c:v>35.659999999999997</c:v>
                </c:pt>
                <c:pt idx="114">
                  <c:v>35.9</c:v>
                </c:pt>
                <c:pt idx="115">
                  <c:v>36.14</c:v>
                </c:pt>
                <c:pt idx="116">
                  <c:v>36.369999999999997</c:v>
                </c:pt>
                <c:pt idx="117">
                  <c:v>36.61</c:v>
                </c:pt>
                <c:pt idx="118">
                  <c:v>36.85</c:v>
                </c:pt>
                <c:pt idx="119">
                  <c:v>37.090000000000003</c:v>
                </c:pt>
                <c:pt idx="120">
                  <c:v>37.33</c:v>
                </c:pt>
                <c:pt idx="121">
                  <c:v>37.57</c:v>
                </c:pt>
                <c:pt idx="122">
                  <c:v>37.81</c:v>
                </c:pt>
                <c:pt idx="123">
                  <c:v>38.049999999999997</c:v>
                </c:pt>
                <c:pt idx="124">
                  <c:v>38.29</c:v>
                </c:pt>
                <c:pt idx="125">
                  <c:v>38.53</c:v>
                </c:pt>
                <c:pt idx="126">
                  <c:v>38.770000000000003</c:v>
                </c:pt>
                <c:pt idx="127">
                  <c:v>39.01</c:v>
                </c:pt>
                <c:pt idx="128">
                  <c:v>39.25</c:v>
                </c:pt>
                <c:pt idx="129">
                  <c:v>39.49</c:v>
                </c:pt>
                <c:pt idx="130">
                  <c:v>39.72</c:v>
                </c:pt>
                <c:pt idx="131">
                  <c:v>39.96</c:v>
                </c:pt>
                <c:pt idx="132">
                  <c:v>40.200000000000003</c:v>
                </c:pt>
                <c:pt idx="133">
                  <c:v>40.44</c:v>
                </c:pt>
                <c:pt idx="134">
                  <c:v>40.68</c:v>
                </c:pt>
                <c:pt idx="135">
                  <c:v>40.92</c:v>
                </c:pt>
                <c:pt idx="136">
                  <c:v>41.16</c:v>
                </c:pt>
                <c:pt idx="137">
                  <c:v>41.4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59-4D94-9F8B-46F1BCF30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276623"/>
        <c:axId val="1908281903"/>
      </c:scatterChart>
      <c:valAx>
        <c:axId val="190827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Radius of rotation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81903"/>
        <c:crosses val="autoZero"/>
        <c:crossBetween val="midCat"/>
      </c:valAx>
      <c:valAx>
        <c:axId val="19082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Steering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7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EF40139-3E2F-46B7-8B01-1D47600FB74D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53CEF-D158-A094-9264-6A76FDEFCC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396240</xdr:colOff>
      <xdr:row>181</xdr:row>
      <xdr:rowOff>99060</xdr:rowOff>
    </xdr:from>
    <xdr:to>
      <xdr:col>26</xdr:col>
      <xdr:colOff>594360</xdr:colOff>
      <xdr:row>203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044F85-5001-EE49-505F-2FE4FAD1B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83820</xdr:colOff>
      <xdr:row>181</xdr:row>
      <xdr:rowOff>171450</xdr:rowOff>
    </xdr:from>
    <xdr:to>
      <xdr:col>10</xdr:col>
      <xdr:colOff>297180</xdr:colOff>
      <xdr:row>203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0CFAC0E-1265-D490-81D7-2C4DFBFC6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181</xdr:row>
      <xdr:rowOff>106680</xdr:rowOff>
    </xdr:from>
    <xdr:to>
      <xdr:col>16</xdr:col>
      <xdr:colOff>198120</xdr:colOff>
      <xdr:row>203</xdr:row>
      <xdr:rowOff>148590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DFB0F4-B810-4EA0-8EB3-8312AE537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1568567</xdr:colOff>
      <xdr:row>204</xdr:row>
      <xdr:rowOff>132131</xdr:rowOff>
    </xdr:from>
    <xdr:to>
      <xdr:col>11</xdr:col>
      <xdr:colOff>501767</xdr:colOff>
      <xdr:row>227</xdr:row>
      <xdr:rowOff>135941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6F5B7EF-84EC-96A5-6F18-97B2F15ED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835E-3E1E-42E8-8FDC-6D134F5E9FF5}">
  <dimension ref="A1:M183"/>
  <sheetViews>
    <sheetView tabSelected="1" topLeftCell="A171" zoomScale="119" workbookViewId="0">
      <selection activeCell="C3" sqref="C3:E178"/>
    </sheetView>
  </sheetViews>
  <sheetFormatPr defaultRowHeight="14.4" x14ac:dyDescent="0.3"/>
  <cols>
    <col min="1" max="1" width="6.33203125" bestFit="1" customWidth="1"/>
    <col min="2" max="2" width="5.5546875" bestFit="1" customWidth="1"/>
    <col min="3" max="3" width="21" customWidth="1"/>
    <col min="4" max="4" width="23.109375" customWidth="1"/>
    <col min="5" max="5" width="25" customWidth="1"/>
    <col min="7" max="7" width="5" customWidth="1"/>
    <col min="8" max="8" width="15.77734375" customWidth="1"/>
    <col min="9" max="10" width="11.21875" bestFit="1" customWidth="1"/>
    <col min="11" max="11" width="12" customWidth="1"/>
    <col min="12" max="12" width="36.6640625" customWidth="1"/>
    <col min="13" max="13" width="16.5546875" customWidth="1"/>
  </cols>
  <sheetData>
    <row r="1" spans="1:13" ht="15" thickBot="1" x14ac:dyDescent="0.35"/>
    <row r="2" spans="1:13" x14ac:dyDescent="0.3">
      <c r="A2" s="9"/>
      <c r="B2" s="9"/>
      <c r="C2" s="9" t="s">
        <v>2</v>
      </c>
      <c r="D2" s="9" t="s">
        <v>4</v>
      </c>
      <c r="E2" s="9" t="s">
        <v>5</v>
      </c>
    </row>
    <row r="3" spans="1:13" x14ac:dyDescent="0.3">
      <c r="A3" s="7"/>
      <c r="B3" s="7"/>
      <c r="C3" s="7" t="s">
        <v>8</v>
      </c>
      <c r="D3" s="7" t="s">
        <v>6</v>
      </c>
      <c r="E3" s="7" t="s">
        <v>7</v>
      </c>
    </row>
    <row r="4" spans="1:13" x14ac:dyDescent="0.3">
      <c r="A4" s="8" t="s">
        <v>0</v>
      </c>
      <c r="B4" s="8" t="s">
        <v>1</v>
      </c>
      <c r="C4" s="8" t="s">
        <v>3</v>
      </c>
      <c r="D4" s="8" t="s">
        <v>3</v>
      </c>
      <c r="E4" s="8" t="s">
        <v>3</v>
      </c>
      <c r="H4" s="11" t="s">
        <v>15</v>
      </c>
      <c r="I4" t="s">
        <v>11</v>
      </c>
      <c r="J4" t="s">
        <v>12</v>
      </c>
      <c r="K4" t="s">
        <v>13</v>
      </c>
      <c r="L4" t="s">
        <v>14</v>
      </c>
      <c r="M4" t="s">
        <v>16</v>
      </c>
    </row>
    <row r="5" spans="1:13" x14ac:dyDescent="0.3">
      <c r="A5" s="1">
        <v>1</v>
      </c>
      <c r="B5" s="2">
        <v>0</v>
      </c>
      <c r="C5" s="3">
        <v>-1.2762365126816366E-14</v>
      </c>
      <c r="D5" s="3">
        <v>5.1658569136330177E-11</v>
      </c>
      <c r="E5" s="3">
        <v>-2.8010489479713583E-11</v>
      </c>
      <c r="H5" s="3">
        <f>ROUND(C5, 2)</f>
        <v>0</v>
      </c>
      <c r="I5" s="3">
        <f>($D$182/TAN(RADIANS((-D5)))) - ($D$183/2)</f>
        <v>-25351414863741.813</v>
      </c>
      <c r="J5" s="3">
        <f>($D$182/TAN(RADIANS((E5)))) + ($D$183/2)</f>
        <v>-46754549519389.18</v>
      </c>
      <c r="K5">
        <f>ABS(I5-J5)</f>
        <v>21403134655647.367</v>
      </c>
      <c r="L5" s="10">
        <f>ABS(ROUND(((I5+J5)/2),2))</f>
        <v>36052982191565.5</v>
      </c>
      <c r="M5">
        <f>K5*100/L5</f>
        <v>59.365781565372352</v>
      </c>
    </row>
    <row r="6" spans="1:13" x14ac:dyDescent="0.3">
      <c r="A6" s="1">
        <v>2</v>
      </c>
      <c r="B6" s="2">
        <v>3.9884393063583816E-2</v>
      </c>
      <c r="C6" s="3">
        <v>0.23930635838150632</v>
      </c>
      <c r="D6" s="3">
        <v>-0.24055080211987584</v>
      </c>
      <c r="E6" s="3">
        <v>0.23806192458274844</v>
      </c>
      <c r="H6" s="3">
        <f t="shared" ref="H6:H69" si="0">ROUND(C6, 2)</f>
        <v>0.24</v>
      </c>
      <c r="I6" s="3">
        <f t="shared" ref="I6:I69" si="1">($D$182/TAN(RADIANS((-D6)))) - ($D$183/2)</f>
        <v>5434.2143247584136</v>
      </c>
      <c r="J6" s="3">
        <f t="shared" ref="J6:J69" si="2">($D$182/TAN(RADIANS((E6)))) + ($D$183/2)</f>
        <v>5511.1328814247099</v>
      </c>
      <c r="K6">
        <f t="shared" ref="K6:K69" si="3">ABS(I6-J6)</f>
        <v>76.918556666296354</v>
      </c>
      <c r="L6" s="10">
        <f t="shared" ref="L6:L69" si="4">ABS(ROUND(((I6+J6)/2),2))</f>
        <v>5472.67</v>
      </c>
      <c r="M6">
        <f t="shared" ref="M6:M69" si="5">K6*100/L6</f>
        <v>1.4055032857142191</v>
      </c>
    </row>
    <row r="7" spans="1:13" x14ac:dyDescent="0.3">
      <c r="A7" s="1">
        <v>3</v>
      </c>
      <c r="B7" s="2">
        <v>7.9768786127167632E-2</v>
      </c>
      <c r="C7" s="3">
        <v>0.4786127167629875</v>
      </c>
      <c r="D7" s="3">
        <v>-0.48051204504024658</v>
      </c>
      <c r="E7" s="3">
        <v>0.47671336932124403</v>
      </c>
      <c r="H7" s="3">
        <f t="shared" si="0"/>
        <v>0.48</v>
      </c>
      <c r="I7" s="3">
        <f t="shared" si="1"/>
        <v>2715.3991391166255</v>
      </c>
      <c r="J7" s="3">
        <f t="shared" si="2"/>
        <v>2757.1174120586807</v>
      </c>
      <c r="K7">
        <f t="shared" si="3"/>
        <v>41.718272942055137</v>
      </c>
      <c r="L7" s="10">
        <f t="shared" si="4"/>
        <v>2736.26</v>
      </c>
      <c r="M7">
        <f t="shared" si="5"/>
        <v>1.5246457917761884</v>
      </c>
    </row>
    <row r="8" spans="1:13" x14ac:dyDescent="0.3">
      <c r="A8" s="1">
        <v>4</v>
      </c>
      <c r="B8" s="2">
        <v>0.11965317919075144</v>
      </c>
      <c r="C8" s="3">
        <v>0.71791907514446851</v>
      </c>
      <c r="D8" s="3">
        <v>-0.71988381898689779</v>
      </c>
      <c r="E8" s="3">
        <v>0.7159542595837215</v>
      </c>
      <c r="H8" s="3">
        <f t="shared" si="0"/>
        <v>0.72</v>
      </c>
      <c r="I8" s="3">
        <f t="shared" si="1"/>
        <v>1809.1114578546599</v>
      </c>
      <c r="J8" s="3">
        <f t="shared" si="2"/>
        <v>1839.0968120048412</v>
      </c>
      <c r="K8">
        <f t="shared" si="3"/>
        <v>29.985354150181365</v>
      </c>
      <c r="L8" s="10">
        <f t="shared" si="4"/>
        <v>1824.1</v>
      </c>
      <c r="M8">
        <f t="shared" si="5"/>
        <v>1.6438437667990442</v>
      </c>
    </row>
    <row r="9" spans="1:13" x14ac:dyDescent="0.3">
      <c r="A9" s="1">
        <v>5</v>
      </c>
      <c r="B9" s="2">
        <v>0.15953757225433526</v>
      </c>
      <c r="C9" s="3">
        <v>0.95722543352594902</v>
      </c>
      <c r="D9" s="3">
        <v>-0.95866613302479264</v>
      </c>
      <c r="E9" s="3">
        <v>0.95578468401233163</v>
      </c>
      <c r="H9" s="3">
        <f t="shared" si="0"/>
        <v>0.96</v>
      </c>
      <c r="I9" s="3">
        <f t="shared" si="1"/>
        <v>1355.9558404527218</v>
      </c>
      <c r="J9" s="3">
        <f t="shared" si="2"/>
        <v>1380.0746192494294</v>
      </c>
      <c r="K9">
        <f t="shared" si="3"/>
        <v>24.118778796707602</v>
      </c>
      <c r="L9" s="10">
        <f t="shared" si="4"/>
        <v>1368.02</v>
      </c>
      <c r="M9">
        <f t="shared" si="5"/>
        <v>1.7630428500100586</v>
      </c>
    </row>
    <row r="10" spans="1:13" x14ac:dyDescent="0.3">
      <c r="A10" s="1">
        <v>6</v>
      </c>
      <c r="B10" s="2">
        <v>0.19942196531791909</v>
      </c>
      <c r="C10" s="3">
        <v>1.196531791907443</v>
      </c>
      <c r="D10" s="3">
        <v>-1.1968589148656807</v>
      </c>
      <c r="E10" s="3">
        <v>1.196204797788361</v>
      </c>
      <c r="H10" s="3">
        <f t="shared" si="0"/>
        <v>1.2</v>
      </c>
      <c r="I10" s="3">
        <f t="shared" si="1"/>
        <v>1084.0531997855028</v>
      </c>
      <c r="J10" s="3">
        <f t="shared" si="2"/>
        <v>1104.6516316346001</v>
      </c>
      <c r="K10">
        <f t="shared" si="3"/>
        <v>20.598431849097324</v>
      </c>
      <c r="L10" s="10">
        <f t="shared" si="4"/>
        <v>1094.3499999999999</v>
      </c>
      <c r="M10">
        <f t="shared" si="5"/>
        <v>1.8822526476079249</v>
      </c>
    </row>
    <row r="11" spans="1:13" x14ac:dyDescent="0.3">
      <c r="A11" s="1">
        <v>7</v>
      </c>
      <c r="B11" s="2">
        <v>0.23930635838150291</v>
      </c>
      <c r="C11" s="3">
        <v>1.4358381502889117</v>
      </c>
      <c r="D11" s="3">
        <v>-1.4344620109191195</v>
      </c>
      <c r="E11" s="3">
        <v>1.4372147896604501</v>
      </c>
      <c r="H11" s="3">
        <f t="shared" si="0"/>
        <v>1.44</v>
      </c>
      <c r="I11" s="3">
        <f t="shared" si="1"/>
        <v>902.7771741593067</v>
      </c>
      <c r="J11" s="3">
        <f t="shared" si="2"/>
        <v>921.02814895745985</v>
      </c>
      <c r="K11">
        <f t="shared" si="3"/>
        <v>18.250974798153152</v>
      </c>
      <c r="L11" s="10">
        <f t="shared" si="4"/>
        <v>911.9</v>
      </c>
      <c r="M11">
        <f t="shared" si="5"/>
        <v>2.0014228312482896</v>
      </c>
    </row>
    <row r="12" spans="1:13" x14ac:dyDescent="0.3">
      <c r="A12" s="1">
        <v>8</v>
      </c>
      <c r="B12" s="2">
        <v>0.2791907514450867</v>
      </c>
      <c r="C12" s="3">
        <v>1.675144508670392</v>
      </c>
      <c r="D12" s="3">
        <v>-1.6714751862277584</v>
      </c>
      <c r="E12" s="3">
        <v>1.678814879329448</v>
      </c>
      <c r="H12" s="3">
        <f t="shared" si="0"/>
        <v>1.68</v>
      </c>
      <c r="I12" s="3">
        <f t="shared" si="1"/>
        <v>773.28789491248745</v>
      </c>
      <c r="J12" s="3">
        <f t="shared" si="2"/>
        <v>789.86145216897569</v>
      </c>
      <c r="K12">
        <f t="shared" si="3"/>
        <v>16.573557256488243</v>
      </c>
      <c r="L12" s="10">
        <f t="shared" si="4"/>
        <v>781.57</v>
      </c>
      <c r="M12">
        <f t="shared" si="5"/>
        <v>2.1205467528805153</v>
      </c>
    </row>
    <row r="13" spans="1:13" x14ac:dyDescent="0.3">
      <c r="A13" s="1">
        <v>9</v>
      </c>
      <c r="B13" s="2">
        <v>0.31907514450867053</v>
      </c>
      <c r="C13" s="3">
        <v>1.914450867051873</v>
      </c>
      <c r="D13" s="3">
        <v>-1.9078981243395796</v>
      </c>
      <c r="E13" s="3">
        <v>1.9210053163045</v>
      </c>
      <c r="H13" s="3">
        <f t="shared" si="0"/>
        <v>1.91</v>
      </c>
      <c r="I13" s="3">
        <f t="shared" si="1"/>
        <v>676.16542831567415</v>
      </c>
      <c r="J13" s="3">
        <f t="shared" si="2"/>
        <v>691.48018536713687</v>
      </c>
      <c r="K13">
        <f t="shared" si="3"/>
        <v>15.31475705146272</v>
      </c>
      <c r="L13" s="10">
        <f t="shared" si="4"/>
        <v>683.82</v>
      </c>
      <c r="M13">
        <f t="shared" si="5"/>
        <v>2.2395889344363602</v>
      </c>
    </row>
    <row r="14" spans="1:13" x14ac:dyDescent="0.3">
      <c r="A14" s="1">
        <v>10</v>
      </c>
      <c r="B14" s="2">
        <v>0.35895953757225435</v>
      </c>
      <c r="C14" s="3">
        <v>2.1537572254333535</v>
      </c>
      <c r="D14" s="3">
        <v>-2.143730427224908</v>
      </c>
      <c r="E14" s="3">
        <v>2.1637863788930209</v>
      </c>
      <c r="H14" s="3">
        <f t="shared" si="0"/>
        <v>2.15</v>
      </c>
      <c r="I14" s="3">
        <f t="shared" si="1"/>
        <v>600.62092284156063</v>
      </c>
      <c r="J14" s="3">
        <f t="shared" si="2"/>
        <v>614.95581925128693</v>
      </c>
      <c r="K14">
        <f t="shared" si="3"/>
        <v>14.334896409726298</v>
      </c>
      <c r="L14" s="10">
        <f t="shared" si="4"/>
        <v>607.79</v>
      </c>
      <c r="M14">
        <f t="shared" si="5"/>
        <v>2.3585278483894601</v>
      </c>
    </row>
    <row r="15" spans="1:13" x14ac:dyDescent="0.3">
      <c r="A15" s="1">
        <v>11</v>
      </c>
      <c r="B15" s="2">
        <v>0.39884393063583817</v>
      </c>
      <c r="C15" s="3">
        <v>2.3930635838148477</v>
      </c>
      <c r="D15" s="3">
        <v>-2.3789716150973539</v>
      </c>
      <c r="E15" s="3">
        <v>2.4071584144951448</v>
      </c>
      <c r="H15" s="3">
        <f t="shared" si="0"/>
        <v>2.39</v>
      </c>
      <c r="I15" s="3">
        <f t="shared" si="1"/>
        <v>540.18106809716392</v>
      </c>
      <c r="J15" s="3">
        <f t="shared" si="2"/>
        <v>553.73122794714686</v>
      </c>
      <c r="K15">
        <f t="shared" si="3"/>
        <v>13.550159849982947</v>
      </c>
      <c r="L15" s="10">
        <f t="shared" si="4"/>
        <v>546.96</v>
      </c>
      <c r="M15">
        <f t="shared" si="5"/>
        <v>2.4773584631386107</v>
      </c>
    </row>
    <row r="16" spans="1:13" x14ac:dyDescent="0.3">
      <c r="A16" s="1">
        <v>12</v>
      </c>
      <c r="B16" s="2">
        <v>0.438728323699422</v>
      </c>
      <c r="C16" s="3">
        <v>2.6323699421963163</v>
      </c>
      <c r="D16" s="3">
        <v>-2.6136211262316147</v>
      </c>
      <c r="E16" s="3">
        <v>2.6511221560610676</v>
      </c>
      <c r="H16" s="3">
        <f t="shared" si="0"/>
        <v>2.63</v>
      </c>
      <c r="I16" s="3">
        <f t="shared" si="1"/>
        <v>490.7264852382134</v>
      </c>
      <c r="J16" s="3">
        <f t="shared" si="2"/>
        <v>503.63363197705434</v>
      </c>
      <c r="K16">
        <f t="shared" si="3"/>
        <v>12.907146738840936</v>
      </c>
      <c r="L16" s="10">
        <f t="shared" si="4"/>
        <v>497.18</v>
      </c>
      <c r="M16">
        <f t="shared" si="5"/>
        <v>2.596071189275702</v>
      </c>
    </row>
    <row r="17" spans="1:13" x14ac:dyDescent="0.3">
      <c r="A17" s="1">
        <v>13</v>
      </c>
      <c r="B17" s="2">
        <v>0.47861271676300582</v>
      </c>
      <c r="C17" s="3">
        <v>2.8716763005777968</v>
      </c>
      <c r="D17" s="3">
        <v>-2.8476783167292048</v>
      </c>
      <c r="E17" s="3">
        <v>2.8956782509097727</v>
      </c>
      <c r="H17" s="3">
        <f t="shared" si="0"/>
        <v>2.87</v>
      </c>
      <c r="I17" s="3">
        <f t="shared" si="1"/>
        <v>449.51092218076099</v>
      </c>
      <c r="J17" s="3">
        <f t="shared" si="2"/>
        <v>461.88121897635318</v>
      </c>
      <c r="K17">
        <f t="shared" si="3"/>
        <v>12.370296795592196</v>
      </c>
      <c r="L17" s="10">
        <f t="shared" si="4"/>
        <v>455.7</v>
      </c>
      <c r="M17">
        <f t="shared" si="5"/>
        <v>2.7145702865025667</v>
      </c>
    </row>
    <row r="18" spans="1:13" x14ac:dyDescent="0.3">
      <c r="A18" s="1">
        <v>14</v>
      </c>
      <c r="B18" s="2">
        <v>0.51849710982658959</v>
      </c>
      <c r="C18" s="3">
        <v>3.1109826589592777</v>
      </c>
      <c r="D18" s="3">
        <v>-3.0811424603021087</v>
      </c>
      <c r="E18" s="3">
        <v>3.1408275717175047</v>
      </c>
      <c r="H18" s="3">
        <f t="shared" si="0"/>
        <v>3.11</v>
      </c>
      <c r="I18" s="3">
        <f t="shared" si="1"/>
        <v>414.63312793831182</v>
      </c>
      <c r="J18" s="3">
        <f t="shared" si="2"/>
        <v>426.54810041957211</v>
      </c>
      <c r="K18">
        <f t="shared" si="3"/>
        <v>11.914972481260293</v>
      </c>
      <c r="L18" s="10">
        <f t="shared" si="4"/>
        <v>420.59</v>
      </c>
      <c r="M18">
        <f t="shared" si="5"/>
        <v>2.8329186336480405</v>
      </c>
    </row>
    <row r="19" spans="1:13" x14ac:dyDescent="0.3">
      <c r="A19" s="1">
        <v>15</v>
      </c>
      <c r="B19" s="2">
        <v>0.55838150289017341</v>
      </c>
      <c r="C19" s="3">
        <v>3.3502890173407591</v>
      </c>
      <c r="D19" s="3">
        <v>-3.3140127479431194</v>
      </c>
      <c r="E19" s="3">
        <v>3.3865708820207856</v>
      </c>
      <c r="H19" s="3">
        <f t="shared" si="0"/>
        <v>3.35</v>
      </c>
      <c r="I19" s="3">
        <f t="shared" si="1"/>
        <v>384.73506654092421</v>
      </c>
      <c r="J19" s="3">
        <f t="shared" si="2"/>
        <v>396.25866914511778</v>
      </c>
      <c r="K19">
        <f t="shared" si="3"/>
        <v>11.52360260419357</v>
      </c>
      <c r="L19" s="10">
        <f t="shared" si="4"/>
        <v>390.5</v>
      </c>
      <c r="M19">
        <f t="shared" si="5"/>
        <v>2.9509865823799157</v>
      </c>
    </row>
    <row r="20" spans="1:13" x14ac:dyDescent="0.3">
      <c r="A20" s="1">
        <v>16</v>
      </c>
      <c r="B20" s="2">
        <v>0.59826589595375723</v>
      </c>
      <c r="C20" s="3">
        <v>3.589595375722253</v>
      </c>
      <c r="D20" s="3">
        <v>-3.546288287639678</v>
      </c>
      <c r="E20" s="3">
        <v>3.632909013587617</v>
      </c>
      <c r="H20" s="3">
        <f t="shared" si="0"/>
        <v>3.59</v>
      </c>
      <c r="I20" s="3">
        <f t="shared" si="1"/>
        <v>358.8208453766523</v>
      </c>
      <c r="J20" s="3">
        <f t="shared" si="2"/>
        <v>370.00414589552304</v>
      </c>
      <c r="K20">
        <f t="shared" si="3"/>
        <v>11.183300518870738</v>
      </c>
      <c r="L20" s="10">
        <f t="shared" si="4"/>
        <v>364.41</v>
      </c>
      <c r="M20">
        <f t="shared" si="5"/>
        <v>3.0688786034605902</v>
      </c>
    </row>
    <row r="21" spans="1:13" x14ac:dyDescent="0.3">
      <c r="A21" s="1">
        <v>17</v>
      </c>
      <c r="B21" s="2">
        <v>0.63815028901734105</v>
      </c>
      <c r="C21" s="3">
        <v>3.8289017341037339</v>
      </c>
      <c r="D21" s="3">
        <v>-3.7779681039998425</v>
      </c>
      <c r="E21" s="3">
        <v>3.8798430367118049</v>
      </c>
      <c r="H21" s="3">
        <f t="shared" si="0"/>
        <v>3.83</v>
      </c>
      <c r="I21" s="3">
        <f t="shared" si="1"/>
        <v>336.14354541171645</v>
      </c>
      <c r="J21" s="3">
        <f t="shared" si="2"/>
        <v>347.02793099312242</v>
      </c>
      <c r="K21">
        <f t="shared" si="3"/>
        <v>10.884385581405979</v>
      </c>
      <c r="L21" s="10">
        <f t="shared" si="4"/>
        <v>341.59</v>
      </c>
      <c r="M21">
        <f t="shared" si="5"/>
        <v>3.1863888232694109</v>
      </c>
    </row>
    <row r="22" spans="1:13" x14ac:dyDescent="0.3">
      <c r="A22" s="1">
        <v>18</v>
      </c>
      <c r="B22" s="2">
        <v>0.67803468208092488</v>
      </c>
      <c r="C22" s="3">
        <v>4.0682080924852011</v>
      </c>
      <c r="D22" s="3">
        <v>-4.0090511378928149</v>
      </c>
      <c r="E22" s="3">
        <v>4.1273738864404317</v>
      </c>
      <c r="H22" s="3">
        <f t="shared" si="0"/>
        <v>4.07</v>
      </c>
      <c r="I22" s="3">
        <f t="shared" si="1"/>
        <v>316.13199368147923</v>
      </c>
      <c r="J22" s="3">
        <f t="shared" si="2"/>
        <v>326.75146705491471</v>
      </c>
      <c r="K22">
        <f t="shared" si="3"/>
        <v>10.619473373435483</v>
      </c>
      <c r="L22" s="10">
        <f t="shared" si="4"/>
        <v>321.44</v>
      </c>
      <c r="M22">
        <f t="shared" si="5"/>
        <v>3.3037186950707698</v>
      </c>
    </row>
    <row r="23" spans="1:13" x14ac:dyDescent="0.3">
      <c r="A23" s="1">
        <v>19</v>
      </c>
      <c r="B23" s="2">
        <v>0.7179190751445087</v>
      </c>
      <c r="C23" s="3">
        <v>4.3075144508666821</v>
      </c>
      <c r="D23" s="3">
        <v>-4.2395362459889538</v>
      </c>
      <c r="E23" s="3">
        <v>4.3755028436005681</v>
      </c>
      <c r="H23" s="3">
        <f t="shared" si="0"/>
        <v>4.3099999999999996</v>
      </c>
      <c r="I23" s="3">
        <f t="shared" si="1"/>
        <v>298.34194495696761</v>
      </c>
      <c r="J23" s="3">
        <f t="shared" si="2"/>
        <v>308.72474475598307</v>
      </c>
      <c r="K23">
        <f t="shared" si="3"/>
        <v>10.382799799015459</v>
      </c>
      <c r="L23" s="10">
        <f t="shared" si="4"/>
        <v>303.52999999999997</v>
      </c>
      <c r="M23">
        <f t="shared" si="5"/>
        <v>3.4206832270337229</v>
      </c>
    </row>
    <row r="24" spans="1:13" x14ac:dyDescent="0.3">
      <c r="A24" s="1">
        <v>20</v>
      </c>
      <c r="B24" s="2">
        <v>0.75780346820809252</v>
      </c>
      <c r="C24" s="3">
        <v>4.5468208092481639</v>
      </c>
      <c r="D24" s="3">
        <v>-4.4694222003461768</v>
      </c>
      <c r="E24" s="3">
        <v>4.624230999702057</v>
      </c>
      <c r="H24" s="3">
        <f t="shared" si="0"/>
        <v>4.55</v>
      </c>
      <c r="I24" s="3">
        <f t="shared" si="1"/>
        <v>282.42267972126285</v>
      </c>
      <c r="J24" s="3">
        <f t="shared" si="2"/>
        <v>292.59251249528057</v>
      </c>
      <c r="K24">
        <f t="shared" si="3"/>
        <v>10.169832774017721</v>
      </c>
      <c r="L24" s="10">
        <f t="shared" si="4"/>
        <v>287.51</v>
      </c>
      <c r="M24">
        <f t="shared" si="5"/>
        <v>3.5372101053938021</v>
      </c>
    </row>
    <row r="25" spans="1:13" x14ac:dyDescent="0.3">
      <c r="A25" s="1">
        <v>21</v>
      </c>
      <c r="B25" s="2">
        <v>0.79768786127167635</v>
      </c>
      <c r="C25" s="3">
        <v>4.7861271676296431</v>
      </c>
      <c r="D25" s="3">
        <v>-4.6987076879135605</v>
      </c>
      <c r="E25" s="3">
        <v>4.8735597873413088</v>
      </c>
      <c r="H25" s="3">
        <f t="shared" si="0"/>
        <v>4.79</v>
      </c>
      <c r="I25" s="3">
        <f t="shared" si="1"/>
        <v>268.09362275695872</v>
      </c>
      <c r="J25" s="3">
        <f t="shared" si="2"/>
        <v>278.07055301417557</v>
      </c>
      <c r="K25">
        <f t="shared" si="3"/>
        <v>9.9769302572168499</v>
      </c>
      <c r="L25" s="10">
        <f t="shared" si="4"/>
        <v>273.08</v>
      </c>
      <c r="M25">
        <f t="shared" si="5"/>
        <v>3.6534825901629011</v>
      </c>
    </row>
    <row r="26" spans="1:13" x14ac:dyDescent="0.3">
      <c r="A26" s="1">
        <v>22</v>
      </c>
      <c r="B26" s="2">
        <v>0.83757225433526017</v>
      </c>
      <c r="C26" s="3">
        <v>5.0254335260111382</v>
      </c>
      <c r="D26" s="3">
        <v>-4.9273913099833422</v>
      </c>
      <c r="E26" s="3">
        <v>5.1234905158221515</v>
      </c>
      <c r="H26" s="3">
        <f t="shared" si="0"/>
        <v>5.03</v>
      </c>
      <c r="I26" s="3">
        <f t="shared" si="1"/>
        <v>255.12764213817348</v>
      </c>
      <c r="J26" s="3">
        <f t="shared" si="2"/>
        <v>264.92879747546493</v>
      </c>
      <c r="K26">
        <f t="shared" si="3"/>
        <v>9.8011553372914477</v>
      </c>
      <c r="L26" s="10">
        <f t="shared" si="4"/>
        <v>260.02999999999997</v>
      </c>
      <c r="M26">
        <f t="shared" si="5"/>
        <v>3.7692402173947039</v>
      </c>
    </row>
    <row r="27" spans="1:13" x14ac:dyDescent="0.3">
      <c r="A27" s="1">
        <v>23</v>
      </c>
      <c r="B27" s="2">
        <v>0.87745664739884399</v>
      </c>
      <c r="C27" s="3">
        <v>5.2647398843926059</v>
      </c>
      <c r="D27" s="3">
        <v>-5.1554715816661982</v>
      </c>
      <c r="E27" s="3">
        <v>5.3740247169670354</v>
      </c>
      <c r="H27" s="3">
        <f t="shared" si="0"/>
        <v>5.26</v>
      </c>
      <c r="I27" s="3">
        <f t="shared" si="1"/>
        <v>243.33890303994181</v>
      </c>
      <c r="J27" s="3">
        <f t="shared" si="2"/>
        <v>252.9790006322562</v>
      </c>
      <c r="K27">
        <f t="shared" si="3"/>
        <v>9.6400975923143903</v>
      </c>
      <c r="L27" s="10">
        <f t="shared" si="4"/>
        <v>248.16</v>
      </c>
      <c r="M27">
        <f t="shared" si="5"/>
        <v>3.8846299130860698</v>
      </c>
    </row>
    <row r="28" spans="1:13" x14ac:dyDescent="0.3">
      <c r="A28" s="1">
        <v>24</v>
      </c>
      <c r="B28" s="2">
        <v>0.91734104046242781</v>
      </c>
      <c r="C28" s="3">
        <v>5.5040462427740868</v>
      </c>
      <c r="D28" s="3">
        <v>-5.3829469312772167</v>
      </c>
      <c r="E28" s="3">
        <v>5.6251639663647657</v>
      </c>
      <c r="H28" s="3">
        <f t="shared" si="0"/>
        <v>5.5</v>
      </c>
      <c r="I28" s="3">
        <f t="shared" si="1"/>
        <v>232.5738901222073</v>
      </c>
      <c r="J28" s="3">
        <f t="shared" si="2"/>
        <v>242.06565772255121</v>
      </c>
      <c r="K28">
        <f t="shared" si="3"/>
        <v>9.4917676003439055</v>
      </c>
      <c r="L28" s="10">
        <f t="shared" si="4"/>
        <v>237.32</v>
      </c>
      <c r="M28">
        <f t="shared" si="5"/>
        <v>3.9995649757053369</v>
      </c>
    </row>
    <row r="29" spans="1:13" x14ac:dyDescent="0.3">
      <c r="A29" s="1">
        <v>25</v>
      </c>
      <c r="B29" s="2">
        <v>0.95722543352601164</v>
      </c>
      <c r="C29" s="3">
        <v>5.7433526011555678</v>
      </c>
      <c r="D29" s="3">
        <v>-5.6098156997058819</v>
      </c>
      <c r="E29" s="3">
        <v>5.8769098703000502</v>
      </c>
      <c r="H29" s="3">
        <f t="shared" si="0"/>
        <v>5.74</v>
      </c>
      <c r="I29" s="3">
        <f t="shared" si="1"/>
        <v>222.70467431699478</v>
      </c>
      <c r="J29" s="3">
        <f t="shared" si="2"/>
        <v>232.05918359416125</v>
      </c>
      <c r="K29">
        <f t="shared" si="3"/>
        <v>9.3545092771664713</v>
      </c>
      <c r="L29" s="10">
        <f t="shared" si="4"/>
        <v>227.38</v>
      </c>
      <c r="M29">
        <f t="shared" si="5"/>
        <v>4.1140422540093553</v>
      </c>
    </row>
    <row r="30" spans="1:13" x14ac:dyDescent="0.3">
      <c r="A30" s="1">
        <v>26</v>
      </c>
      <c r="B30" s="2">
        <v>0.99710982658959546</v>
      </c>
      <c r="C30" s="3">
        <v>5.9826589595370487</v>
      </c>
      <c r="D30" s="3">
        <v>-5.8360761397568082</v>
      </c>
      <c r="E30" s="3">
        <v>6.1292642707866207</v>
      </c>
      <c r="H30" s="3">
        <f t="shared" si="0"/>
        <v>5.98</v>
      </c>
      <c r="I30" s="3">
        <f t="shared" si="1"/>
        <v>213.62379558665185</v>
      </c>
      <c r="J30" s="3">
        <f t="shared" si="2"/>
        <v>222.8507211873459</v>
      </c>
      <c r="K30">
        <f t="shared" si="3"/>
        <v>9.2269256006940452</v>
      </c>
      <c r="L30" s="10">
        <f t="shared" si="4"/>
        <v>218.24</v>
      </c>
      <c r="M30">
        <f t="shared" si="5"/>
        <v>4.2278801322828281</v>
      </c>
    </row>
    <row r="31" spans="1:13" x14ac:dyDescent="0.3">
      <c r="A31" s="1">
        <v>27</v>
      </c>
      <c r="B31" s="2">
        <v>1.0369942196531792</v>
      </c>
      <c r="C31" s="3">
        <v>6.221965317918543</v>
      </c>
      <c r="D31" s="3">
        <v>-6.0617264154528456</v>
      </c>
      <c r="E31" s="3">
        <v>6.3822288793836224</v>
      </c>
      <c r="H31" s="3">
        <f t="shared" si="0"/>
        <v>6.22</v>
      </c>
      <c r="I31" s="3">
        <f t="shared" si="1"/>
        <v>205.24032658438239</v>
      </c>
      <c r="J31" s="3">
        <f t="shared" si="2"/>
        <v>214.34816827077893</v>
      </c>
      <c r="K31">
        <f t="shared" si="3"/>
        <v>9.1078416863965401</v>
      </c>
      <c r="L31" s="10">
        <f t="shared" si="4"/>
        <v>209.79</v>
      </c>
      <c r="M31">
        <f t="shared" si="5"/>
        <v>4.3414088785912295</v>
      </c>
    </row>
    <row r="32" spans="1:13" x14ac:dyDescent="0.3">
      <c r="A32" s="1">
        <v>28</v>
      </c>
      <c r="B32" s="2">
        <v>1.0768786127167629</v>
      </c>
      <c r="C32" s="3">
        <v>6.4612716763000106</v>
      </c>
      <c r="D32" s="3">
        <v>-6.2867646012571861</v>
      </c>
      <c r="E32" s="3">
        <v>6.6358057575947687</v>
      </c>
      <c r="H32" s="3">
        <f t="shared" si="0"/>
        <v>6.46</v>
      </c>
      <c r="I32" s="3">
        <f t="shared" si="1"/>
        <v>197.47681105863217</v>
      </c>
      <c r="J32" s="3">
        <f t="shared" si="2"/>
        <v>206.47305893113361</v>
      </c>
      <c r="K32">
        <f t="shared" si="3"/>
        <v>8.9962478725014421</v>
      </c>
      <c r="L32" s="10">
        <f t="shared" si="4"/>
        <v>201.97</v>
      </c>
      <c r="M32">
        <f t="shared" si="5"/>
        <v>4.4542495779083238</v>
      </c>
    </row>
    <row r="33" spans="1:13" x14ac:dyDescent="0.3">
      <c r="A33" s="1">
        <v>29</v>
      </c>
      <c r="B33" s="2">
        <v>1.1167630057803466</v>
      </c>
      <c r="C33" s="3">
        <v>6.7005780346820778</v>
      </c>
      <c r="D33" s="3">
        <v>-6.5111886813386475</v>
      </c>
      <c r="E33" s="3">
        <v>6.889996786011543</v>
      </c>
      <c r="H33" s="3">
        <f t="shared" si="0"/>
        <v>6.7</v>
      </c>
      <c r="I33" s="3">
        <f t="shared" si="1"/>
        <v>190.26685831117271</v>
      </c>
      <c r="J33" s="3">
        <f t="shared" si="2"/>
        <v>199.15814477331364</v>
      </c>
      <c r="K33">
        <f t="shared" si="3"/>
        <v>8.8912864621409256</v>
      </c>
      <c r="L33" s="10">
        <f t="shared" si="4"/>
        <v>194.71</v>
      </c>
      <c r="M33">
        <f t="shared" si="5"/>
        <v>4.56642517700217</v>
      </c>
    </row>
    <row r="34" spans="1:13" x14ac:dyDescent="0.3">
      <c r="A34" s="1">
        <v>30</v>
      </c>
      <c r="B34" s="2">
        <v>1.1566473988439303</v>
      </c>
      <c r="C34" s="3">
        <v>6.9398843930635703</v>
      </c>
      <c r="D34" s="3">
        <v>-6.734996548724455</v>
      </c>
      <c r="E34" s="3">
        <v>7.1448041885084796</v>
      </c>
      <c r="H34" s="3">
        <f t="shared" si="0"/>
        <v>6.94</v>
      </c>
      <c r="I34" s="3">
        <f t="shared" si="1"/>
        <v>183.55323535619911</v>
      </c>
      <c r="J34" s="3">
        <f t="shared" si="2"/>
        <v>192.34544593306563</v>
      </c>
      <c r="K34">
        <f t="shared" si="3"/>
        <v>8.7922105768665233</v>
      </c>
      <c r="L34" s="10">
        <f t="shared" si="4"/>
        <v>187.95</v>
      </c>
      <c r="M34">
        <f t="shared" si="5"/>
        <v>4.6779518897933086</v>
      </c>
    </row>
    <row r="35" spans="1:13" x14ac:dyDescent="0.3">
      <c r="A35" s="1">
        <v>31</v>
      </c>
      <c r="B35" s="2">
        <v>1.196531791907514</v>
      </c>
      <c r="C35" s="3">
        <v>7.1791907514450504</v>
      </c>
      <c r="D35" s="3">
        <v>-6.958186004433772</v>
      </c>
      <c r="E35" s="3">
        <v>7.400230076275724</v>
      </c>
      <c r="H35" s="3">
        <f t="shared" si="0"/>
        <v>7.18</v>
      </c>
      <c r="I35" s="3">
        <f t="shared" si="1"/>
        <v>177.28634064715729</v>
      </c>
      <c r="J35" s="3">
        <f t="shared" si="2"/>
        <v>185.98471850225897</v>
      </c>
      <c r="K35">
        <f t="shared" si="3"/>
        <v>8.6983778551016826</v>
      </c>
      <c r="L35" s="10">
        <f t="shared" si="4"/>
        <v>181.64</v>
      </c>
      <c r="M35">
        <f t="shared" si="5"/>
        <v>4.7888008451341575</v>
      </c>
    </row>
    <row r="36" spans="1:13" x14ac:dyDescent="0.3">
      <c r="A36" s="1">
        <v>32</v>
      </c>
      <c r="B36" s="2">
        <v>1.2364161849710977</v>
      </c>
      <c r="C36" s="3">
        <v>7.418497109826558</v>
      </c>
      <c r="D36" s="3">
        <v>-7.180754756603184</v>
      </c>
      <c r="E36" s="3">
        <v>7.6562767863636152</v>
      </c>
      <c r="H36" s="3">
        <f t="shared" si="0"/>
        <v>7.42</v>
      </c>
      <c r="I36" s="3">
        <f t="shared" si="1"/>
        <v>171.42297321069822</v>
      </c>
      <c r="J36" s="3">
        <f t="shared" si="2"/>
        <v>180.03219831478813</v>
      </c>
      <c r="K36">
        <f t="shared" si="3"/>
        <v>8.6092251040899157</v>
      </c>
      <c r="L36" s="10">
        <f t="shared" si="4"/>
        <v>175.73</v>
      </c>
      <c r="M36">
        <f t="shared" si="5"/>
        <v>4.899120869566902</v>
      </c>
    </row>
    <row r="37" spans="1:13" x14ac:dyDescent="0.3">
      <c r="A37" s="1">
        <v>33</v>
      </c>
      <c r="B37" s="2">
        <v>1.2763005780346814</v>
      </c>
      <c r="C37" s="3">
        <v>7.6578034682080771</v>
      </c>
      <c r="D37" s="3">
        <v>-7.4027004195122679</v>
      </c>
      <c r="E37" s="3">
        <v>7.9129467079810087</v>
      </c>
      <c r="H37" s="3">
        <f t="shared" si="0"/>
        <v>7.66</v>
      </c>
      <c r="I37" s="3">
        <f t="shared" si="1"/>
        <v>165.92533256981537</v>
      </c>
      <c r="J37" s="3">
        <f t="shared" si="2"/>
        <v>174.44959268305422</v>
      </c>
      <c r="K37">
        <f t="shared" si="3"/>
        <v>8.5242601132388529</v>
      </c>
      <c r="L37" s="10">
        <f t="shared" si="4"/>
        <v>170.19</v>
      </c>
      <c r="M37">
        <f t="shared" si="5"/>
        <v>5.0086727265049964</v>
      </c>
    </row>
    <row r="38" spans="1:13" x14ac:dyDescent="0.3">
      <c r="A38" s="1">
        <v>34</v>
      </c>
      <c r="B38" s="2">
        <v>1.3161849710982652</v>
      </c>
      <c r="C38" s="3">
        <v>7.8971098265896069</v>
      </c>
      <c r="D38" s="3">
        <v>-7.6240205126306941</v>
      </c>
      <c r="E38" s="3">
        <v>8.1702422701107338</v>
      </c>
      <c r="H38" s="3">
        <f t="shared" si="0"/>
        <v>7.9</v>
      </c>
      <c r="I38" s="3">
        <f t="shared" si="1"/>
        <v>160.76020049783708</v>
      </c>
      <c r="J38" s="3">
        <f t="shared" si="2"/>
        <v>169.20325148570814</v>
      </c>
      <c r="K38">
        <f t="shared" si="3"/>
        <v>8.4430509878710609</v>
      </c>
      <c r="L38" s="10">
        <f t="shared" si="4"/>
        <v>164.98</v>
      </c>
      <c r="M38">
        <f t="shared" si="5"/>
        <v>5.1176209163965698</v>
      </c>
    </row>
    <row r="39" spans="1:13" x14ac:dyDescent="0.3">
      <c r="A39" s="1">
        <v>35</v>
      </c>
      <c r="B39" s="2">
        <v>1.3560693641618489</v>
      </c>
      <c r="C39" s="3">
        <v>8.1364161849711394</v>
      </c>
      <c r="D39" s="3">
        <v>-7.84471245956267</v>
      </c>
      <c r="E39" s="3">
        <v>8.428166140319167</v>
      </c>
      <c r="H39" s="3">
        <f t="shared" si="0"/>
        <v>8.14</v>
      </c>
      <c r="I39" s="3">
        <f t="shared" si="1"/>
        <v>155.89826717044846</v>
      </c>
      <c r="J39" s="3">
        <f t="shared" si="2"/>
        <v>164.26348059191307</v>
      </c>
      <c r="K39">
        <f t="shared" si="3"/>
        <v>8.3652134214646026</v>
      </c>
      <c r="L39" s="10">
        <f t="shared" si="4"/>
        <v>160.08000000000001</v>
      </c>
      <c r="M39">
        <f t="shared" si="5"/>
        <v>5.2256455656325596</v>
      </c>
    </row>
    <row r="40" spans="1:13" x14ac:dyDescent="0.3">
      <c r="A40" s="1">
        <v>36</v>
      </c>
      <c r="B40" s="2">
        <v>1.3959537572254326</v>
      </c>
      <c r="C40" s="3">
        <v>8.3757225433526852</v>
      </c>
      <c r="D40" s="3">
        <v>-8.0647735869943151</v>
      </c>
      <c r="E40" s="3">
        <v>8.686720871989781</v>
      </c>
      <c r="H40" s="3">
        <f t="shared" si="0"/>
        <v>8.3800000000000008</v>
      </c>
      <c r="I40" s="3">
        <f t="shared" si="1"/>
        <v>151.31357283374297</v>
      </c>
      <c r="J40" s="3">
        <f t="shared" si="2"/>
        <v>159.60398331277344</v>
      </c>
      <c r="K40">
        <f t="shared" si="3"/>
        <v>8.29041047903047</v>
      </c>
      <c r="L40" s="10">
        <f t="shared" si="4"/>
        <v>155.46</v>
      </c>
      <c r="M40">
        <f t="shared" si="5"/>
        <v>5.3328254721667756</v>
      </c>
    </row>
    <row r="41" spans="1:13" x14ac:dyDescent="0.3">
      <c r="A41" s="1">
        <v>37</v>
      </c>
      <c r="B41" s="2">
        <v>1.4358381502890163</v>
      </c>
      <c r="C41" s="3">
        <v>8.6150289017342683</v>
      </c>
      <c r="D41" s="3">
        <v>-8.284201123561564</v>
      </c>
      <c r="E41" s="3">
        <v>8.9459093666589649</v>
      </c>
      <c r="H41" s="3">
        <f t="shared" si="0"/>
        <v>8.6199999999999992</v>
      </c>
      <c r="I41" s="3">
        <f t="shared" si="1"/>
        <v>146.98304252860916</v>
      </c>
      <c r="J41" s="3">
        <f t="shared" si="2"/>
        <v>155.20138035761406</v>
      </c>
      <c r="K41">
        <f t="shared" si="3"/>
        <v>8.218337829004895</v>
      </c>
      <c r="L41" s="10">
        <f t="shared" si="4"/>
        <v>151.09</v>
      </c>
      <c r="M41">
        <f t="shared" si="5"/>
        <v>5.4393658276556325</v>
      </c>
    </row>
    <row r="42" spans="1:13" x14ac:dyDescent="0.3">
      <c r="A42" s="1">
        <v>38</v>
      </c>
      <c r="B42" s="2">
        <v>1.4757225433526</v>
      </c>
      <c r="C42" s="3">
        <v>8.8543352601158531</v>
      </c>
      <c r="D42" s="3">
        <v>-8.502992198704975</v>
      </c>
      <c r="E42" s="3">
        <v>9.2057343652713559</v>
      </c>
      <c r="H42" s="3">
        <f t="shared" si="0"/>
        <v>8.85</v>
      </c>
      <c r="I42" s="3">
        <f t="shared" si="1"/>
        <v>142.88609626486047</v>
      </c>
      <c r="J42" s="3">
        <f t="shared" si="2"/>
        <v>151.03482414787649</v>
      </c>
      <c r="K42">
        <f t="shared" si="3"/>
        <v>8.1487278830160221</v>
      </c>
      <c r="L42" s="10">
        <f t="shared" si="4"/>
        <v>146.96</v>
      </c>
      <c r="M42">
        <f t="shared" si="5"/>
        <v>5.5448611071148761</v>
      </c>
    </row>
    <row r="43" spans="1:13" x14ac:dyDescent="0.3">
      <c r="A43" s="1">
        <v>39</v>
      </c>
      <c r="B43" s="2">
        <v>1.5156069364161837</v>
      </c>
      <c r="C43" s="3">
        <v>9.0936416184974327</v>
      </c>
      <c r="D43" s="3">
        <v>-8.721143841434424</v>
      </c>
      <c r="E43" s="3">
        <v>9.4661989504135882</v>
      </c>
      <c r="H43" s="3">
        <f t="shared" si="0"/>
        <v>9.09</v>
      </c>
      <c r="I43" s="3">
        <f t="shared" si="1"/>
        <v>139.0043207479049</v>
      </c>
      <c r="J43" s="3">
        <f t="shared" si="2"/>
        <v>147.08565771267786</v>
      </c>
      <c r="K43">
        <f t="shared" si="3"/>
        <v>8.0813369647729587</v>
      </c>
      <c r="L43" s="10">
        <f t="shared" si="4"/>
        <v>143.04</v>
      </c>
      <c r="M43">
        <f t="shared" si="5"/>
        <v>5.6497042538960844</v>
      </c>
    </row>
    <row r="44" spans="1:13" x14ac:dyDescent="0.3">
      <c r="A44" s="1">
        <v>40</v>
      </c>
      <c r="B44" s="2">
        <v>1.5554913294797674</v>
      </c>
      <c r="C44" s="3">
        <v>9.3329479768790282</v>
      </c>
      <c r="D44" s="3">
        <v>-8.9386529791021214</v>
      </c>
      <c r="E44" s="3">
        <v>9.7273061109268042</v>
      </c>
      <c r="H44" s="3">
        <f t="shared" si="0"/>
        <v>9.33</v>
      </c>
      <c r="I44" s="3">
        <f t="shared" si="1"/>
        <v>135.32119160830482</v>
      </c>
      <c r="J44" s="3">
        <f t="shared" si="2"/>
        <v>143.33714044461018</v>
      </c>
      <c r="K44">
        <f t="shared" si="3"/>
        <v>8.0159488363053697</v>
      </c>
      <c r="L44" s="10">
        <f t="shared" si="4"/>
        <v>139.33000000000001</v>
      </c>
      <c r="M44">
        <f t="shared" si="5"/>
        <v>5.7532109641178275</v>
      </c>
    </row>
    <row r="45" spans="1:13" x14ac:dyDescent="0.3">
      <c r="A45" s="1">
        <v>41</v>
      </c>
      <c r="B45" s="2">
        <v>1.5953757225433511</v>
      </c>
      <c r="C45" s="3">
        <v>9.5722543352606646</v>
      </c>
      <c r="D45" s="3">
        <v>-9.155516436068849</v>
      </c>
      <c r="E45" s="3">
        <v>9.9890590655585978</v>
      </c>
      <c r="H45" s="3">
        <f t="shared" si="0"/>
        <v>9.57</v>
      </c>
      <c r="I45" s="3">
        <f t="shared" si="1"/>
        <v>131.82183729817825</v>
      </c>
      <c r="J45" s="3">
        <f t="shared" si="2"/>
        <v>139.77420389395871</v>
      </c>
      <c r="K45">
        <f t="shared" si="3"/>
        <v>7.952366595780461</v>
      </c>
      <c r="L45" s="10">
        <f t="shared" si="4"/>
        <v>135.80000000000001</v>
      </c>
      <c r="M45">
        <f t="shared" si="5"/>
        <v>5.8559400558029902</v>
      </c>
    </row>
    <row r="46" spans="1:13" x14ac:dyDescent="0.3">
      <c r="A46" s="1">
        <v>42</v>
      </c>
      <c r="B46" s="2">
        <v>1.6352601156069348</v>
      </c>
      <c r="C46" s="3">
        <v>9.8115606936415816</v>
      </c>
      <c r="D46" s="3">
        <v>-9.3717309323564741</v>
      </c>
      <c r="E46" s="3">
        <v>10.251461097718884</v>
      </c>
      <c r="H46" s="3">
        <f t="shared" si="0"/>
        <v>9.81</v>
      </c>
      <c r="I46" s="3">
        <f t="shared" si="1"/>
        <v>128.49283753904103</v>
      </c>
      <c r="J46" s="3">
        <f t="shared" si="2"/>
        <v>136.38325017109156</v>
      </c>
      <c r="K46">
        <f t="shared" si="3"/>
        <v>7.890412632050527</v>
      </c>
      <c r="L46" s="10">
        <f t="shared" si="4"/>
        <v>132.44</v>
      </c>
      <c r="M46">
        <f t="shared" si="5"/>
        <v>5.9577262398448561</v>
      </c>
    </row>
    <row r="47" spans="1:13" x14ac:dyDescent="0.3">
      <c r="A47" s="1">
        <v>43</v>
      </c>
      <c r="B47" s="2">
        <v>1.6751445086705186</v>
      </c>
      <c r="C47" s="3">
        <v>10.050867052022886</v>
      </c>
      <c r="D47" s="3">
        <v>-9.5872930822541083</v>
      </c>
      <c r="E47" s="3">
        <v>10.514515544061615</v>
      </c>
      <c r="H47" s="3">
        <f t="shared" si="0"/>
        <v>10.050000000000001</v>
      </c>
      <c r="I47" s="3">
        <f t="shared" si="1"/>
        <v>125.32205056306552</v>
      </c>
      <c r="J47" s="3">
        <f t="shared" si="2"/>
        <v>133.15197695799998</v>
      </c>
      <c r="K47">
        <f t="shared" si="3"/>
        <v>7.8299263949344606</v>
      </c>
      <c r="L47" s="10">
        <f t="shared" si="4"/>
        <v>129.24</v>
      </c>
      <c r="M47">
        <f t="shared" si="5"/>
        <v>6.0584388694943208</v>
      </c>
    </row>
    <row r="48" spans="1:13" x14ac:dyDescent="0.3">
      <c r="A48" s="1">
        <v>44</v>
      </c>
      <c r="B48" s="2">
        <v>1.7150289017341023</v>
      </c>
      <c r="C48" s="3">
        <v>10.290173410404609</v>
      </c>
      <c r="D48" s="3">
        <v>-9.8021993928126889</v>
      </c>
      <c r="E48" s="3">
        <v>10.778225985160676</v>
      </c>
      <c r="H48" s="3">
        <f t="shared" si="0"/>
        <v>10.29</v>
      </c>
      <c r="I48" s="3">
        <f t="shared" si="1"/>
        <v>122.29846446135508</v>
      </c>
      <c r="J48" s="3">
        <f t="shared" si="2"/>
        <v>130.06922461907126</v>
      </c>
      <c r="K48">
        <f t="shared" si="3"/>
        <v>7.7707601577161824</v>
      </c>
      <c r="L48" s="10">
        <f t="shared" si="4"/>
        <v>126.18</v>
      </c>
      <c r="M48">
        <f t="shared" si="5"/>
        <v>6.1584721490855774</v>
      </c>
    </row>
    <row r="49" spans="1:13" x14ac:dyDescent="0.3">
      <c r="A49" s="1">
        <v>45</v>
      </c>
      <c r="B49" s="2">
        <v>1.754913294797686</v>
      </c>
      <c r="C49" s="3">
        <v>10.529479768786116</v>
      </c>
      <c r="D49" s="3">
        <v>-10.016446262383328</v>
      </c>
      <c r="E49" s="3">
        <v>11.042595907797214</v>
      </c>
      <c r="H49" s="3">
        <f t="shared" si="0"/>
        <v>10.53</v>
      </c>
      <c r="I49" s="3">
        <f t="shared" si="1"/>
        <v>119.41206880185948</v>
      </c>
      <c r="J49" s="3">
        <f t="shared" si="2"/>
        <v>127.12485022813742</v>
      </c>
      <c r="K49">
        <f t="shared" si="3"/>
        <v>7.7127814262779424</v>
      </c>
      <c r="L49" s="10">
        <f t="shared" si="4"/>
        <v>123.27</v>
      </c>
      <c r="M49">
        <f t="shared" si="5"/>
        <v>6.256819523223772</v>
      </c>
    </row>
    <row r="50" spans="1:13" x14ac:dyDescent="0.3">
      <c r="A50" s="1">
        <v>46</v>
      </c>
      <c r="B50" s="2">
        <v>1.7947976878612697</v>
      </c>
      <c r="C50" s="3">
        <v>10.768786127167099</v>
      </c>
      <c r="D50" s="3">
        <v>-10.230029979010164</v>
      </c>
      <c r="E50" s="3">
        <v>11.30762915015292</v>
      </c>
      <c r="H50" s="3">
        <f t="shared" si="0"/>
        <v>10.77</v>
      </c>
      <c r="I50" s="3">
        <f t="shared" si="1"/>
        <v>116.65374336644456</v>
      </c>
      <c r="J50" s="3">
        <f t="shared" si="2"/>
        <v>124.30960972228412</v>
      </c>
      <c r="K50">
        <f t="shared" si="3"/>
        <v>7.6558663558395637</v>
      </c>
      <c r="L50" s="10">
        <f t="shared" si="4"/>
        <v>120.48</v>
      </c>
      <c r="M50">
        <f t="shared" si="5"/>
        <v>6.3544707468787882</v>
      </c>
    </row>
    <row r="51" spans="1:13" x14ac:dyDescent="0.3">
      <c r="A51" s="1">
        <v>47</v>
      </c>
      <c r="B51" s="2">
        <v>1.8346820809248534</v>
      </c>
      <c r="C51" s="3">
        <v>11.008092485549113</v>
      </c>
      <c r="D51" s="3">
        <v>-10.442946718808471</v>
      </c>
      <c r="E51" s="3">
        <v>11.573329410855152</v>
      </c>
      <c r="H51" s="3">
        <f t="shared" si="0"/>
        <v>11.01</v>
      </c>
      <c r="I51" s="3">
        <f t="shared" si="1"/>
        <v>114.01516140027574</v>
      </c>
      <c r="J51" s="3">
        <f t="shared" si="2"/>
        <v>121.61506537787974</v>
      </c>
      <c r="K51">
        <f t="shared" si="3"/>
        <v>7.5999039776040007</v>
      </c>
      <c r="L51" s="10">
        <f t="shared" si="4"/>
        <v>117.82</v>
      </c>
      <c r="M51">
        <f t="shared" si="5"/>
        <v>6.4504362396910553</v>
      </c>
    </row>
    <row r="52" spans="1:13" x14ac:dyDescent="0.3">
      <c r="A52" s="1">
        <v>48</v>
      </c>
      <c r="B52" s="2">
        <v>1.8745664739884371</v>
      </c>
      <c r="C52" s="3">
        <v>11.24739884393062</v>
      </c>
      <c r="D52" s="3">
        <v>-10.655192544270099</v>
      </c>
      <c r="E52" s="3">
        <v>11.83970073753197</v>
      </c>
      <c r="H52" s="3">
        <f t="shared" si="0"/>
        <v>11.25</v>
      </c>
      <c r="I52" s="3">
        <f t="shared" si="1"/>
        <v>111.48870521284962</v>
      </c>
      <c r="J52" s="3">
        <f t="shared" si="2"/>
        <v>119.03349511578989</v>
      </c>
      <c r="K52">
        <f t="shared" si="3"/>
        <v>7.5447899029402663</v>
      </c>
      <c r="L52" s="10">
        <f t="shared" si="4"/>
        <v>115.26</v>
      </c>
      <c r="M52">
        <f t="shared" si="5"/>
        <v>6.545887474353866</v>
      </c>
    </row>
    <row r="53" spans="1:13" x14ac:dyDescent="0.3">
      <c r="A53" s="1">
        <v>49</v>
      </c>
      <c r="B53" s="2">
        <v>1.9144508670520208</v>
      </c>
      <c r="C53" s="3">
        <v>11.486705202311605</v>
      </c>
      <c r="D53" s="3">
        <v>-10.866763402548164</v>
      </c>
      <c r="E53" s="3">
        <v>12.106747100930908</v>
      </c>
      <c r="H53" s="3">
        <f t="shared" si="0"/>
        <v>11.49</v>
      </c>
      <c r="I53" s="3">
        <f t="shared" si="1"/>
        <v>109.06739232878191</v>
      </c>
      <c r="J53" s="3">
        <f t="shared" si="2"/>
        <v>116.55782208742797</v>
      </c>
      <c r="K53">
        <f t="shared" si="3"/>
        <v>7.4904297586460586</v>
      </c>
      <c r="L53" s="10">
        <f t="shared" si="4"/>
        <v>112.81</v>
      </c>
      <c r="M53">
        <f t="shared" si="5"/>
        <v>6.6398632733322032</v>
      </c>
    </row>
    <row r="54" spans="1:13" x14ac:dyDescent="0.3">
      <c r="A54" s="1">
        <v>50</v>
      </c>
      <c r="B54" s="2">
        <v>1.9543352601156045</v>
      </c>
      <c r="C54" s="3">
        <v>11.726011560693623</v>
      </c>
      <c r="D54" s="3">
        <v>-11.077655123598912</v>
      </c>
      <c r="E54" s="3">
        <v>12.374472715723854</v>
      </c>
      <c r="H54" s="3">
        <f t="shared" si="0"/>
        <v>11.73</v>
      </c>
      <c r="I54" s="3">
        <f t="shared" si="1"/>
        <v>106.74481068261161</v>
      </c>
      <c r="J54" s="3">
        <f t="shared" si="2"/>
        <v>114.18154585936117</v>
      </c>
      <c r="K54">
        <f t="shared" si="3"/>
        <v>7.4367351767495506</v>
      </c>
      <c r="L54" s="10">
        <f t="shared" si="4"/>
        <v>110.46</v>
      </c>
      <c r="M54">
        <f t="shared" si="5"/>
        <v>6.7325141922411289</v>
      </c>
    </row>
    <row r="55" spans="1:13" x14ac:dyDescent="0.3">
      <c r="A55" s="1">
        <v>51</v>
      </c>
      <c r="B55" s="2">
        <v>1.9942196531791883</v>
      </c>
      <c r="C55" s="3">
        <v>11.965317919075126</v>
      </c>
      <c r="D55" s="3">
        <v>-11.287863418339482</v>
      </c>
      <c r="E55" s="3">
        <v>12.64288187515079</v>
      </c>
      <c r="H55" s="3">
        <f t="shared" si="0"/>
        <v>11.97</v>
      </c>
      <c r="I55" s="3">
        <f t="shared" si="1"/>
        <v>104.51506158969474</v>
      </c>
      <c r="J55" s="3">
        <f t="shared" si="2"/>
        <v>111.89868628354806</v>
      </c>
      <c r="K55">
        <f t="shared" si="3"/>
        <v>7.3836246938533208</v>
      </c>
      <c r="L55" s="10">
        <f t="shared" si="4"/>
        <v>108.21</v>
      </c>
      <c r="M55">
        <f t="shared" si="5"/>
        <v>6.8234217667991146</v>
      </c>
    </row>
    <row r="56" spans="1:13" x14ac:dyDescent="0.3">
      <c r="A56" s="1">
        <v>52</v>
      </c>
      <c r="B56" s="2">
        <v>2.034104046242772</v>
      </c>
      <c r="C56" s="3">
        <v>12.204624277456084</v>
      </c>
      <c r="D56" s="3">
        <v>-11.497383876701406</v>
      </c>
      <c r="E56" s="3">
        <v>12.911978941368366</v>
      </c>
      <c r="H56" s="3">
        <f t="shared" si="0"/>
        <v>12.2</v>
      </c>
      <c r="I56" s="3">
        <f t="shared" si="1"/>
        <v>102.37270942718456</v>
      </c>
      <c r="J56" s="3">
        <f t="shared" si="2"/>
        <v>109.7037325377517</v>
      </c>
      <c r="K56">
        <f t="shared" si="3"/>
        <v>7.3310231105671448</v>
      </c>
      <c r="L56" s="10">
        <f t="shared" si="4"/>
        <v>106.04</v>
      </c>
      <c r="M56">
        <f t="shared" si="5"/>
        <v>6.9134506889543044</v>
      </c>
    </row>
    <row r="57" spans="1:13" x14ac:dyDescent="0.3">
      <c r="A57" s="1">
        <v>53</v>
      </c>
      <c r="B57" s="2">
        <v>2.0739884393063557</v>
      </c>
      <c r="C57" s="3">
        <v>12.443930635838139</v>
      </c>
      <c r="D57" s="3">
        <v>-11.706211965635168</v>
      </c>
      <c r="E57" s="3">
        <v>13.18176853964972</v>
      </c>
      <c r="H57" s="3">
        <f t="shared" si="0"/>
        <v>12.44</v>
      </c>
      <c r="I57" s="3">
        <f t="shared" si="1"/>
        <v>100.31273712122861</v>
      </c>
      <c r="J57" s="3">
        <f t="shared" si="2"/>
        <v>107.59159647553194</v>
      </c>
      <c r="K57">
        <f t="shared" si="3"/>
        <v>7.2788593543033357</v>
      </c>
      <c r="L57" s="10">
        <f t="shared" si="4"/>
        <v>103.95</v>
      </c>
      <c r="M57">
        <f t="shared" si="5"/>
        <v>7.0022697011095101</v>
      </c>
    </row>
    <row r="58" spans="1:13" x14ac:dyDescent="0.3">
      <c r="A58" s="1">
        <v>54</v>
      </c>
      <c r="B58" s="2">
        <v>2.1138728323699394</v>
      </c>
      <c r="C58" s="3">
        <v>12.683236994219635</v>
      </c>
      <c r="D58" s="3">
        <v>-11.914343027007281</v>
      </c>
      <c r="E58" s="3">
        <v>13.452255209259857</v>
      </c>
      <c r="H58" s="3">
        <f t="shared" si="0"/>
        <v>12.68</v>
      </c>
      <c r="I58" s="3">
        <f t="shared" si="1"/>
        <v>98.330506674087701</v>
      </c>
      <c r="J58" s="3">
        <f t="shared" si="2"/>
        <v>105.55757544674445</v>
      </c>
      <c r="K58">
        <f t="shared" si="3"/>
        <v>7.2270687726567502</v>
      </c>
      <c r="L58" s="10">
        <f t="shared" si="4"/>
        <v>101.94</v>
      </c>
      <c r="M58">
        <f t="shared" si="5"/>
        <v>7.0895318546760357</v>
      </c>
    </row>
    <row r="59" spans="1:13" x14ac:dyDescent="0.3">
      <c r="A59" s="1">
        <v>55</v>
      </c>
      <c r="B59" s="2">
        <v>2.1537572254335231</v>
      </c>
      <c r="C59" s="3">
        <v>12.92254335260114</v>
      </c>
      <c r="D59" s="3">
        <v>-12.12177227548257</v>
      </c>
      <c r="E59" s="3">
        <v>13.723443823633557</v>
      </c>
      <c r="H59" s="3">
        <f t="shared" si="0"/>
        <v>12.92</v>
      </c>
      <c r="I59" s="3">
        <f t="shared" si="1"/>
        <v>96.421724076972424</v>
      </c>
      <c r="J59" s="3">
        <f t="shared" si="2"/>
        <v>103.59731347512849</v>
      </c>
      <c r="K59">
        <f t="shared" si="3"/>
        <v>7.1755893981560632</v>
      </c>
      <c r="L59" s="10">
        <f t="shared" si="4"/>
        <v>100.01</v>
      </c>
      <c r="M59">
        <f t="shared" si="5"/>
        <v>7.1748719109649661</v>
      </c>
    </row>
    <row r="60" spans="1:13" x14ac:dyDescent="0.3">
      <c r="A60" s="1">
        <v>56</v>
      </c>
      <c r="B60" s="2">
        <v>2.1936416184971068</v>
      </c>
      <c r="C60" s="3">
        <v>13.161849710982759</v>
      </c>
      <c r="D60" s="3">
        <v>-12.328494796281047</v>
      </c>
      <c r="E60" s="3">
        <v>13.99533920359702</v>
      </c>
      <c r="H60" s="3">
        <f t="shared" si="0"/>
        <v>13.16</v>
      </c>
      <c r="I60" s="3">
        <f t="shared" si="1"/>
        <v>94.582408051434157</v>
      </c>
      <c r="J60" s="3">
        <f t="shared" si="2"/>
        <v>101.70677254069416</v>
      </c>
      <c r="K60">
        <f t="shared" si="3"/>
        <v>7.1243644892600031</v>
      </c>
      <c r="L60" s="10">
        <f t="shared" si="4"/>
        <v>98.14</v>
      </c>
      <c r="M60">
        <f t="shared" si="5"/>
        <v>7.2593891270226241</v>
      </c>
    </row>
    <row r="61" spans="1:13" x14ac:dyDescent="0.3">
      <c r="A61" s="1">
        <v>57</v>
      </c>
      <c r="B61" s="2">
        <v>2.2335260115606905</v>
      </c>
      <c r="C61" s="3">
        <v>13.40115606936452</v>
      </c>
      <c r="D61" s="3">
        <v>-12.534505542898765</v>
      </c>
      <c r="E61" s="3">
        <v>14.267946545148778</v>
      </c>
      <c r="H61" s="3">
        <f t="shared" si="0"/>
        <v>13.4</v>
      </c>
      <c r="I61" s="3">
        <f t="shared" si="1"/>
        <v>92.808862139931932</v>
      </c>
      <c r="J61" s="3">
        <f t="shared" si="2"/>
        <v>99.882201267294789</v>
      </c>
      <c r="K61">
        <f t="shared" si="3"/>
        <v>7.073339127362857</v>
      </c>
      <c r="L61" s="10">
        <f t="shared" si="4"/>
        <v>96.35</v>
      </c>
      <c r="M61">
        <f t="shared" si="5"/>
        <v>7.341296447704055</v>
      </c>
    </row>
    <row r="62" spans="1:13" x14ac:dyDescent="0.3">
      <c r="A62" s="1">
        <v>58</v>
      </c>
      <c r="B62" s="2">
        <v>2.2734104046242742</v>
      </c>
      <c r="C62" s="3">
        <v>13.640462427746119</v>
      </c>
      <c r="D62" s="3">
        <v>-12.73979933472668</v>
      </c>
      <c r="E62" s="3">
        <v>14.541270919565761</v>
      </c>
      <c r="H62" s="3">
        <f t="shared" si="0"/>
        <v>13.64</v>
      </c>
      <c r="I62" s="3">
        <f t="shared" si="1"/>
        <v>91.097649734845419</v>
      </c>
      <c r="J62" s="3">
        <f t="shared" si="2"/>
        <v>98.120113107550665</v>
      </c>
      <c r="K62">
        <f t="shared" si="3"/>
        <v>7.0224633727052463</v>
      </c>
      <c r="L62" s="10">
        <f t="shared" si="4"/>
        <v>94.61</v>
      </c>
      <c r="M62">
        <f t="shared" si="5"/>
        <v>7.4225381806418422</v>
      </c>
    </row>
    <row r="63" spans="1:13" x14ac:dyDescent="0.3">
      <c r="A63" s="1">
        <v>59</v>
      </c>
      <c r="B63" s="2">
        <v>2.313294797687858</v>
      </c>
      <c r="C63" s="3">
        <v>13.879768786127139</v>
      </c>
      <c r="D63" s="3">
        <v>-12.944370854580548</v>
      </c>
      <c r="E63" s="3">
        <v>14.815317685630548</v>
      </c>
      <c r="H63" s="3">
        <f t="shared" si="0"/>
        <v>13.88</v>
      </c>
      <c r="I63" s="3">
        <f t="shared" si="1"/>
        <v>89.445571691167018</v>
      </c>
      <c r="J63" s="3">
        <f t="shared" si="2"/>
        <v>96.417260848502153</v>
      </c>
      <c r="K63">
        <f t="shared" si="3"/>
        <v>6.9716891573351347</v>
      </c>
      <c r="L63" s="10">
        <f t="shared" si="4"/>
        <v>92.93</v>
      </c>
      <c r="M63">
        <f t="shared" si="5"/>
        <v>7.5020866860380222</v>
      </c>
    </row>
    <row r="64" spans="1:13" x14ac:dyDescent="0.3">
      <c r="A64" s="1">
        <v>60</v>
      </c>
      <c r="B64" s="2">
        <v>2.3531791907514417</v>
      </c>
      <c r="C64" s="3">
        <v>14.119075144508647</v>
      </c>
      <c r="D64" s="3">
        <v>-13.148214646203431</v>
      </c>
      <c r="E64" s="3">
        <v>15.090092245818676</v>
      </c>
      <c r="H64" s="3">
        <f t="shared" si="0"/>
        <v>14.12</v>
      </c>
      <c r="I64" s="3">
        <f t="shared" si="1"/>
        <v>87.849646215851294</v>
      </c>
      <c r="J64" s="3">
        <f t="shared" si="2"/>
        <v>94.770617862974987</v>
      </c>
      <c r="K64">
        <f t="shared" si="3"/>
        <v>6.9209716471236931</v>
      </c>
      <c r="L64" s="10">
        <f t="shared" si="4"/>
        <v>91.31</v>
      </c>
      <c r="M64">
        <f t="shared" si="5"/>
        <v>7.5796425880228808</v>
      </c>
    </row>
    <row r="65" spans="1:13" x14ac:dyDescent="0.3">
      <c r="A65" s="1">
        <v>61</v>
      </c>
      <c r="B65" s="2">
        <v>2.3930635838150254</v>
      </c>
      <c r="C65" s="3">
        <v>14.358381502890587</v>
      </c>
      <c r="D65" s="3">
        <v>-13.351325111591834</v>
      </c>
      <c r="E65" s="3">
        <v>15.365600248593859</v>
      </c>
      <c r="H65" s="3">
        <f t="shared" si="0"/>
        <v>14.36</v>
      </c>
      <c r="I65" s="3">
        <f t="shared" si="1"/>
        <v>86.307090769363128</v>
      </c>
      <c r="J65" s="3">
        <f t="shared" si="2"/>
        <v>93.177358535585228</v>
      </c>
      <c r="K65">
        <f t="shared" si="3"/>
        <v>6.8702677662220992</v>
      </c>
      <c r="L65" s="10">
        <f t="shared" si="4"/>
        <v>89.74</v>
      </c>
      <c r="M65">
        <f t="shared" si="5"/>
        <v>7.6557474551171154</v>
      </c>
    </row>
    <row r="66" spans="1:13" x14ac:dyDescent="0.3">
      <c r="A66" s="1">
        <v>62</v>
      </c>
      <c r="B66" s="2">
        <v>2.4329479768786091</v>
      </c>
      <c r="C66" s="3">
        <v>14.59768786127165</v>
      </c>
      <c r="D66" s="3">
        <v>-13.55369650831032</v>
      </c>
      <c r="E66" s="3">
        <v>15.641847442420955</v>
      </c>
      <c r="H66" s="3">
        <f t="shared" si="0"/>
        <v>14.6</v>
      </c>
      <c r="I66" s="3">
        <f t="shared" si="1"/>
        <v>84.815305747253717</v>
      </c>
      <c r="J66" s="3">
        <f t="shared" si="2"/>
        <v>91.634842651823675</v>
      </c>
      <c r="K66">
        <f t="shared" si="3"/>
        <v>6.8195369045699579</v>
      </c>
      <c r="L66" s="10">
        <f t="shared" si="4"/>
        <v>88.23</v>
      </c>
      <c r="M66">
        <f t="shared" si="5"/>
        <v>7.7292722481808429</v>
      </c>
    </row>
    <row r="67" spans="1:13" x14ac:dyDescent="0.3">
      <c r="A67" s="1">
        <v>63</v>
      </c>
      <c r="B67" s="2">
        <v>2.4728323699421928</v>
      </c>
      <c r="C67" s="3">
        <v>14.836994219653141</v>
      </c>
      <c r="D67" s="3">
        <v>-13.755322946699547</v>
      </c>
      <c r="E67" s="3">
        <v>15.918839670920372</v>
      </c>
      <c r="H67" s="3">
        <f t="shared" si="0"/>
        <v>14.84</v>
      </c>
      <c r="I67" s="3">
        <f t="shared" si="1"/>
        <v>83.37185974151356</v>
      </c>
      <c r="J67" s="3">
        <f t="shared" si="2"/>
        <v>90.140600458748438</v>
      </c>
      <c r="K67">
        <f t="shared" si="3"/>
        <v>6.768740717234877</v>
      </c>
      <c r="L67" s="10">
        <f t="shared" si="4"/>
        <v>86.76</v>
      </c>
      <c r="M67">
        <f t="shared" si="5"/>
        <v>7.8016836298235095</v>
      </c>
    </row>
    <row r="68" spans="1:13" x14ac:dyDescent="0.3">
      <c r="A68" s="1">
        <v>64</v>
      </c>
      <c r="B68" s="2">
        <v>2.5127167630057765</v>
      </c>
      <c r="C68" s="3">
        <v>15.076300578035038</v>
      </c>
      <c r="D68" s="3">
        <v>-13.956198386950998</v>
      </c>
      <c r="E68" s="3">
        <v>16.196583003888389</v>
      </c>
      <c r="H68" s="3">
        <f t="shared" si="0"/>
        <v>15.08</v>
      </c>
      <c r="I68" s="3">
        <f t="shared" si="1"/>
        <v>81.974476206341947</v>
      </c>
      <c r="J68" s="3">
        <f t="shared" si="2"/>
        <v>88.692318450215637</v>
      </c>
      <c r="K68">
        <f t="shared" si="3"/>
        <v>6.7178422438736902</v>
      </c>
      <c r="L68" s="10">
        <f t="shared" si="4"/>
        <v>85.33</v>
      </c>
      <c r="M68">
        <f t="shared" si="5"/>
        <v>7.8727789099656516</v>
      </c>
    </row>
    <row r="69" spans="1:13" x14ac:dyDescent="0.3">
      <c r="A69" s="1">
        <v>65</v>
      </c>
      <c r="B69" s="2">
        <v>2.5526011560693602</v>
      </c>
      <c r="C69" s="3">
        <v>15.315606936416151</v>
      </c>
      <c r="D69" s="3">
        <v>-14.15631663611515</v>
      </c>
      <c r="E69" s="3">
        <v>16.475083598021904</v>
      </c>
      <c r="H69" s="3">
        <f t="shared" si="0"/>
        <v>15.32</v>
      </c>
      <c r="I69" s="3">
        <f t="shared" si="1"/>
        <v>80.621021374254639</v>
      </c>
      <c r="J69" s="3">
        <f t="shared" si="2"/>
        <v>87.28782789508665</v>
      </c>
      <c r="K69">
        <f t="shared" si="3"/>
        <v>6.6668065208320115</v>
      </c>
      <c r="L69" s="10">
        <f t="shared" si="4"/>
        <v>83.95</v>
      </c>
      <c r="M69">
        <f t="shared" si="5"/>
        <v>7.9414014542370595</v>
      </c>
    </row>
    <row r="70" spans="1:13" x14ac:dyDescent="0.3">
      <c r="A70" s="1">
        <v>66</v>
      </c>
      <c r="B70" s="2">
        <v>2.5924855491329439</v>
      </c>
      <c r="C70" s="3">
        <v>15.554913294797661</v>
      </c>
      <c r="D70" s="3">
        <v>-14.355671345034413</v>
      </c>
      <c r="E70" s="3">
        <v>16.754347897138821</v>
      </c>
      <c r="H70" s="3">
        <f t="shared" ref="H70:H133" si="6">ROUND(C70, 2)</f>
        <v>15.55</v>
      </c>
      <c r="I70" s="3">
        <f t="shared" ref="I70:I133" si="7">($D$182/TAN(RADIANS((-D70)))) - ($D$183/2)</f>
        <v>79.309493287951085</v>
      </c>
      <c r="J70" s="3">
        <f t="shared" ref="J70:J133" si="8">($D$182/TAN(RADIANS((E70)))) + ($D$183/2)</f>
        <v>85.925092720764482</v>
      </c>
      <c r="K70">
        <f t="shared" ref="K70:K133" si="9">ABS(I70-J70)</f>
        <v>6.6155994328133971</v>
      </c>
      <c r="L70" s="10">
        <f t="shared" ref="L70:L133" si="10">ABS(ROUND(((I70+J70)/2),2))</f>
        <v>82.62</v>
      </c>
      <c r="M70">
        <f t="shared" ref="M70:M133" si="11">K70*100/L70</f>
        <v>8.0072614776245423</v>
      </c>
    </row>
    <row r="71" spans="1:13" x14ac:dyDescent="0.3">
      <c r="A71" s="1">
        <v>67</v>
      </c>
      <c r="B71" s="2">
        <v>2.6323699421965276</v>
      </c>
      <c r="C71" s="3">
        <v>15.794219653179574</v>
      </c>
      <c r="D71" s="3">
        <v>-14.554256005099541</v>
      </c>
      <c r="E71" s="3">
        <v>17.034382292106098</v>
      </c>
      <c r="H71" s="3">
        <f t="shared" si="6"/>
        <v>15.79</v>
      </c>
      <c r="I71" s="3">
        <f t="shared" si="7"/>
        <v>78.038011830254462</v>
      </c>
      <c r="J71" s="3">
        <f t="shared" si="8"/>
        <v>84.602201106628399</v>
      </c>
      <c r="K71">
        <f t="shared" si="9"/>
        <v>6.5641892763739378</v>
      </c>
      <c r="L71" s="10">
        <f t="shared" si="10"/>
        <v>81.319999999999993</v>
      </c>
      <c r="M71">
        <f t="shared" si="11"/>
        <v>8.072047806657574</v>
      </c>
    </row>
    <row r="72" spans="1:13" x14ac:dyDescent="0.3">
      <c r="A72" s="1">
        <v>68</v>
      </c>
      <c r="B72" s="2">
        <v>2.6722543352601114</v>
      </c>
      <c r="C72" s="3">
        <v>16.03352601156066</v>
      </c>
      <c r="D72" s="3">
        <v>-14.752063944969443</v>
      </c>
      <c r="E72" s="3">
        <v>17.315193550538257</v>
      </c>
      <c r="H72" s="3">
        <f t="shared" si="6"/>
        <v>16.03</v>
      </c>
      <c r="I72" s="3">
        <f t="shared" si="7"/>
        <v>76.804809646948911</v>
      </c>
      <c r="J72" s="3">
        <f t="shared" si="8"/>
        <v>83.317354203212076</v>
      </c>
      <c r="K72">
        <f t="shared" si="9"/>
        <v>6.5125445562631654</v>
      </c>
      <c r="L72" s="10">
        <f t="shared" si="10"/>
        <v>80.06</v>
      </c>
      <c r="M72">
        <f t="shared" si="11"/>
        <v>8.1345797605085739</v>
      </c>
    </row>
    <row r="73" spans="1:13" x14ac:dyDescent="0.3">
      <c r="A73" s="1">
        <v>69</v>
      </c>
      <c r="B73" s="2">
        <v>2.7121387283236951</v>
      </c>
      <c r="C73" s="3">
        <v>16.272832369942154</v>
      </c>
      <c r="D73" s="3">
        <v>-14.949088327147729</v>
      </c>
      <c r="E73" s="3">
        <v>17.596788410891385</v>
      </c>
      <c r="H73" s="3">
        <f t="shared" si="6"/>
        <v>16.27</v>
      </c>
      <c r="I73" s="3">
        <f t="shared" si="7"/>
        <v>75.608223871272386</v>
      </c>
      <c r="J73" s="3">
        <f t="shared" si="8"/>
        <v>82.068859686983828</v>
      </c>
      <c r="K73">
        <f t="shared" si="9"/>
        <v>6.4606358157114414</v>
      </c>
      <c r="L73" s="10">
        <f t="shared" si="10"/>
        <v>78.84</v>
      </c>
      <c r="M73">
        <f t="shared" si="11"/>
        <v>8.1946167119627606</v>
      </c>
    </row>
    <row r="74" spans="1:13" x14ac:dyDescent="0.3">
      <c r="A74" s="1">
        <v>70</v>
      </c>
      <c r="B74" s="2">
        <v>2.7520231213872788</v>
      </c>
      <c r="C74" s="3">
        <v>16.51213872832405</v>
      </c>
      <c r="D74" s="3">
        <v>-15.145322144428176</v>
      </c>
      <c r="E74" s="3">
        <v>17.879173972138645</v>
      </c>
      <c r="H74" s="3">
        <f t="shared" si="6"/>
        <v>16.510000000000002</v>
      </c>
      <c r="I74" s="3">
        <f t="shared" si="7"/>
        <v>74.446688568650359</v>
      </c>
      <c r="J74" s="3">
        <f t="shared" si="8"/>
        <v>80.855122331675773</v>
      </c>
      <c r="K74">
        <f t="shared" si="9"/>
        <v>6.408433763025414</v>
      </c>
      <c r="L74" s="10">
        <f t="shared" si="10"/>
        <v>77.650000000000006</v>
      </c>
      <c r="M74">
        <f t="shared" si="11"/>
        <v>8.252973294301885</v>
      </c>
    </row>
    <row r="75" spans="1:13" x14ac:dyDescent="0.3">
      <c r="A75" s="1">
        <v>71</v>
      </c>
      <c r="B75" s="2">
        <v>2.7919075144508625</v>
      </c>
      <c r="C75" s="3">
        <v>16.751445086705168</v>
      </c>
      <c r="D75" s="3">
        <v>-15.340758216261641</v>
      </c>
      <c r="E75" s="3">
        <v>18.162357321213737</v>
      </c>
      <c r="H75" s="3">
        <f t="shared" si="6"/>
        <v>16.75</v>
      </c>
      <c r="I75" s="3">
        <f t="shared" si="7"/>
        <v>73.318727829340133</v>
      </c>
      <c r="J75" s="3">
        <f t="shared" si="8"/>
        <v>79.674638677143378</v>
      </c>
      <c r="K75">
        <f t="shared" si="9"/>
        <v>6.3559108478032442</v>
      </c>
      <c r="L75" s="10">
        <f t="shared" si="10"/>
        <v>76.5</v>
      </c>
      <c r="M75">
        <f t="shared" si="11"/>
        <v>8.3083801932068546</v>
      </c>
    </row>
    <row r="76" spans="1:13" x14ac:dyDescent="0.3">
      <c r="A76" s="1">
        <v>72</v>
      </c>
      <c r="B76" s="2">
        <v>2.8317919075144462</v>
      </c>
      <c r="C76" s="3">
        <v>16.990751445086662</v>
      </c>
      <c r="D76" s="3">
        <v>-15.535389184962577</v>
      </c>
      <c r="E76" s="3">
        <v>18.446345904113866</v>
      </c>
      <c r="H76" s="3">
        <f t="shared" si="6"/>
        <v>16.989999999999998</v>
      </c>
      <c r="I76" s="3">
        <f t="shared" si="7"/>
        <v>72.222949445579957</v>
      </c>
      <c r="J76" s="3">
        <f t="shared" si="8"/>
        <v>78.525989037280326</v>
      </c>
      <c r="K76">
        <f t="shared" si="9"/>
        <v>6.3030395917003688</v>
      </c>
      <c r="L76" s="10">
        <f t="shared" si="10"/>
        <v>75.37</v>
      </c>
      <c r="M76">
        <f t="shared" si="11"/>
        <v>8.3627963270536938</v>
      </c>
    </row>
    <row r="77" spans="1:13" x14ac:dyDescent="0.3">
      <c r="A77" s="1">
        <v>73</v>
      </c>
      <c r="B77" s="2">
        <v>2.8716763005780299</v>
      </c>
      <c r="C77" s="3">
        <v>17.230057803468608</v>
      </c>
      <c r="D77" s="3">
        <v>-15.729207511810666</v>
      </c>
      <c r="E77" s="3">
        <v>18.731147170135117</v>
      </c>
      <c r="H77" s="3">
        <f t="shared" si="6"/>
        <v>17.23</v>
      </c>
      <c r="I77" s="3">
        <f t="shared" si="7"/>
        <v>71.158039116100184</v>
      </c>
      <c r="J77" s="3">
        <f t="shared" si="8"/>
        <v>77.407833125126231</v>
      </c>
      <c r="K77">
        <f t="shared" si="9"/>
        <v>6.2497940090260471</v>
      </c>
      <c r="L77" s="10">
        <f t="shared" si="10"/>
        <v>74.28</v>
      </c>
      <c r="M77">
        <f t="shared" si="11"/>
        <v>8.4138314607243512</v>
      </c>
    </row>
    <row r="78" spans="1:13" x14ac:dyDescent="0.3">
      <c r="A78" s="1">
        <v>74</v>
      </c>
      <c r="B78" s="2">
        <v>2.9115606936416136</v>
      </c>
      <c r="C78" s="3">
        <v>17.469364161849672</v>
      </c>
      <c r="D78" s="3">
        <v>-15.922205472991358</v>
      </c>
      <c r="E78" s="3">
        <v>19.016768929387101</v>
      </c>
      <c r="H78" s="3">
        <f t="shared" si="6"/>
        <v>17.47</v>
      </c>
      <c r="I78" s="3">
        <f t="shared" si="7"/>
        <v>70.122755127735431</v>
      </c>
      <c r="J78" s="3">
        <f t="shared" si="8"/>
        <v>76.318903227553747</v>
      </c>
      <c r="K78">
        <f t="shared" si="9"/>
        <v>6.1961480998183163</v>
      </c>
      <c r="L78" s="10">
        <f t="shared" si="10"/>
        <v>73.22</v>
      </c>
      <c r="M78">
        <f t="shared" si="11"/>
        <v>8.4623710732290576</v>
      </c>
    </row>
    <row r="79" spans="1:13" x14ac:dyDescent="0.3">
      <c r="A79" s="1">
        <v>75</v>
      </c>
      <c r="B79" s="2">
        <v>2.9514450867051973</v>
      </c>
      <c r="C79" s="3">
        <v>17.708670520231166</v>
      </c>
      <c r="D79" s="3">
        <v>-16.1143751554464</v>
      </c>
      <c r="E79" s="3">
        <v>19.303219008248202</v>
      </c>
      <c r="H79" s="3">
        <f t="shared" si="6"/>
        <v>17.71</v>
      </c>
      <c r="I79" s="3">
        <f t="shared" si="7"/>
        <v>69.115923468629333</v>
      </c>
      <c r="J79" s="3">
        <f t="shared" si="8"/>
        <v>75.258000619499242</v>
      </c>
      <c r="K79">
        <f t="shared" si="9"/>
        <v>6.142077150869909</v>
      </c>
      <c r="L79" s="10">
        <f t="shared" si="10"/>
        <v>72.19</v>
      </c>
      <c r="M79">
        <f t="shared" si="11"/>
        <v>8.5082104874219553</v>
      </c>
    </row>
    <row r="80" spans="1:13" x14ac:dyDescent="0.3">
      <c r="A80" s="1">
        <v>76</v>
      </c>
      <c r="B80" s="2">
        <v>2.9913294797687811</v>
      </c>
      <c r="C80" s="3">
        <v>17.947976878613133</v>
      </c>
      <c r="D80" s="3">
        <v>-16.305708452522882</v>
      </c>
      <c r="E80" s="3">
        <v>19.590505599240437</v>
      </c>
      <c r="H80" s="3">
        <f t="shared" si="6"/>
        <v>17.95</v>
      </c>
      <c r="I80" s="3">
        <f t="shared" si="7"/>
        <v>68.13643333333269</v>
      </c>
      <c r="J80" s="3">
        <f t="shared" si="8"/>
        <v>74.223989685104655</v>
      </c>
      <c r="K80">
        <f t="shared" si="9"/>
        <v>6.0875563517719655</v>
      </c>
      <c r="L80" s="10">
        <f t="shared" si="10"/>
        <v>71.180000000000007</v>
      </c>
      <c r="M80">
        <f t="shared" si="11"/>
        <v>8.5523410392975077</v>
      </c>
    </row>
    <row r="81" spans="1:13" x14ac:dyDescent="0.3">
      <c r="A81" s="1">
        <v>77</v>
      </c>
      <c r="B81" s="2">
        <v>3.0312138728323648</v>
      </c>
      <c r="C81" s="3">
        <v>18.187283236994176</v>
      </c>
      <c r="D81" s="3">
        <v>-16.496197059511253</v>
      </c>
      <c r="E81" s="3">
        <v>19.87863692164273</v>
      </c>
      <c r="H81" s="3">
        <f t="shared" si="6"/>
        <v>18.190000000000001</v>
      </c>
      <c r="I81" s="3">
        <f t="shared" si="7"/>
        <v>67.183232983233978</v>
      </c>
      <c r="J81" s="3">
        <f t="shared" si="8"/>
        <v>73.215794991985092</v>
      </c>
      <c r="K81">
        <f t="shared" si="9"/>
        <v>6.032562008751114</v>
      </c>
      <c r="L81" s="10">
        <f t="shared" si="10"/>
        <v>70.2</v>
      </c>
      <c r="M81">
        <f t="shared" si="11"/>
        <v>8.5933931748591359</v>
      </c>
    </row>
    <row r="82" spans="1:13" x14ac:dyDescent="0.3">
      <c r="A82" s="1">
        <v>78</v>
      </c>
      <c r="B82" s="2">
        <v>3.0710982658959485</v>
      </c>
      <c r="C82" s="3">
        <v>18.426589595375685</v>
      </c>
      <c r="D82" s="3">
        <v>-16.68583246903334</v>
      </c>
      <c r="E82" s="3">
        <v>20.167621570071379</v>
      </c>
      <c r="H82" s="3">
        <f t="shared" si="6"/>
        <v>18.43</v>
      </c>
      <c r="I82" s="3">
        <f t="shared" si="7"/>
        <v>66.25532593022281</v>
      </c>
      <c r="J82" s="3">
        <f t="shared" si="8"/>
        <v>72.232396179370809</v>
      </c>
      <c r="K82">
        <f t="shared" si="9"/>
        <v>5.9770702491479994</v>
      </c>
      <c r="L82" s="10">
        <f t="shared" si="10"/>
        <v>69.239999999999995</v>
      </c>
      <c r="M82">
        <f t="shared" si="11"/>
        <v>8.6323949294454074</v>
      </c>
    </row>
    <row r="83" spans="1:13" x14ac:dyDescent="0.3">
      <c r="A83" s="1">
        <v>79</v>
      </c>
      <c r="B83" s="2">
        <v>3.1109826589595322</v>
      </c>
      <c r="C83" s="3">
        <v>18.665895953757651</v>
      </c>
      <c r="D83" s="3">
        <v>-16.87460596624593</v>
      </c>
      <c r="E83" s="3">
        <v>20.457468173397455</v>
      </c>
      <c r="H83" s="3">
        <f t="shared" si="6"/>
        <v>18.670000000000002</v>
      </c>
      <c r="I83" s="3">
        <f t="shared" si="7"/>
        <v>65.351767414745652</v>
      </c>
      <c r="J83" s="3">
        <f t="shared" si="8"/>
        <v>71.27282559341711</v>
      </c>
      <c r="K83">
        <f t="shared" si="9"/>
        <v>5.9210581786714584</v>
      </c>
      <c r="L83" s="10">
        <f t="shared" si="10"/>
        <v>68.31</v>
      </c>
      <c r="M83">
        <f t="shared" si="11"/>
        <v>8.6679229668737481</v>
      </c>
    </row>
    <row r="84" spans="1:13" x14ac:dyDescent="0.3">
      <c r="A84" s="1">
        <v>80</v>
      </c>
      <c r="B84" s="2">
        <v>3.1508670520231159</v>
      </c>
      <c r="C84" s="3">
        <v>18.905202312138684</v>
      </c>
      <c r="D84" s="3">
        <v>-17.062508623904858</v>
      </c>
      <c r="E84" s="3">
        <v>20.748185749302362</v>
      </c>
      <c r="H84" s="3">
        <f t="shared" si="6"/>
        <v>18.91</v>
      </c>
      <c r="I84" s="3">
        <f t="shared" si="7"/>
        <v>64.471661151955672</v>
      </c>
      <c r="J84" s="3">
        <f t="shared" si="8"/>
        <v>70.336163793264419</v>
      </c>
      <c r="K84">
        <f t="shared" si="9"/>
        <v>5.8645026413087464</v>
      </c>
      <c r="L84" s="10">
        <f t="shared" si="10"/>
        <v>67.400000000000006</v>
      </c>
      <c r="M84">
        <f t="shared" si="11"/>
        <v>8.701042494523362</v>
      </c>
    </row>
    <row r="85" spans="1:13" x14ac:dyDescent="0.3">
      <c r="A85" s="1">
        <v>81</v>
      </c>
      <c r="B85" s="2">
        <v>3.1907514450866996</v>
      </c>
      <c r="C85" s="3">
        <v>19.144508670520189</v>
      </c>
      <c r="D85" s="3">
        <v>-17.249531297197237</v>
      </c>
      <c r="E85" s="3">
        <v>21.039783354457782</v>
      </c>
      <c r="H85" s="3">
        <f t="shared" si="6"/>
        <v>19.14</v>
      </c>
      <c r="I85" s="3">
        <f t="shared" si="7"/>
        <v>63.614156322929489</v>
      </c>
      <c r="J85" s="3">
        <f t="shared" si="8"/>
        <v>69.421537669800699</v>
      </c>
      <c r="K85">
        <f t="shared" si="9"/>
        <v>5.8073813468712103</v>
      </c>
      <c r="L85" s="10">
        <f t="shared" si="10"/>
        <v>66.52</v>
      </c>
      <c r="M85">
        <f t="shared" si="11"/>
        <v>8.7302786333000757</v>
      </c>
    </row>
    <row r="86" spans="1:13" x14ac:dyDescent="0.3">
      <c r="A86" s="1">
        <v>82</v>
      </c>
      <c r="B86" s="2">
        <v>3.2306358381502833</v>
      </c>
      <c r="C86" s="3">
        <v>19.383815028902209</v>
      </c>
      <c r="D86" s="3">
        <v>-17.435664618521898</v>
      </c>
      <c r="E86" s="3">
        <v>21.332270452043829</v>
      </c>
      <c r="H86" s="3">
        <f t="shared" si="6"/>
        <v>19.38</v>
      </c>
      <c r="I86" s="3">
        <f t="shared" si="7"/>
        <v>62.778444788960797</v>
      </c>
      <c r="J86" s="3">
        <f t="shared" si="8"/>
        <v>68.528116448645932</v>
      </c>
      <c r="K86">
        <f t="shared" si="9"/>
        <v>5.7496716596851343</v>
      </c>
      <c r="L86" s="10">
        <f t="shared" si="10"/>
        <v>65.650000000000006</v>
      </c>
      <c r="M86">
        <f t="shared" si="11"/>
        <v>8.7580680269385134</v>
      </c>
    </row>
    <row r="87" spans="1:13" x14ac:dyDescent="0.3">
      <c r="A87" s="1">
        <v>83</v>
      </c>
      <c r="B87" s="2">
        <v>3.270520231213867</v>
      </c>
      <c r="C87" s="3">
        <v>19.623121387283188</v>
      </c>
      <c r="D87" s="3">
        <v>-17.62089899191551</v>
      </c>
      <c r="E87" s="3">
        <v>21.625656545650653</v>
      </c>
      <c r="H87" s="3">
        <f t="shared" si="6"/>
        <v>19.62</v>
      </c>
      <c r="I87" s="3">
        <f t="shared" si="7"/>
        <v>61.963758511242887</v>
      </c>
      <c r="J87" s="3">
        <f t="shared" si="8"/>
        <v>67.655110232031461</v>
      </c>
      <c r="K87">
        <f t="shared" si="9"/>
        <v>5.6913517207885747</v>
      </c>
      <c r="L87" s="10">
        <f t="shared" si="10"/>
        <v>64.81</v>
      </c>
      <c r="M87">
        <f t="shared" si="11"/>
        <v>8.7815950019882347</v>
      </c>
    </row>
    <row r="88" spans="1:13" x14ac:dyDescent="0.3">
      <c r="A88" s="1">
        <v>84</v>
      </c>
      <c r="B88" s="2">
        <v>3.3104046242774507</v>
      </c>
      <c r="C88" s="3">
        <v>19.862427745664682</v>
      </c>
      <c r="D88" s="3">
        <v>-17.805224587429748</v>
      </c>
      <c r="E88" s="3">
        <v>21.919951477046972</v>
      </c>
      <c r="H88" s="3">
        <f t="shared" si="6"/>
        <v>19.86</v>
      </c>
      <c r="I88" s="3">
        <f t="shared" si="7"/>
        <v>61.169367157278714</v>
      </c>
      <c r="J88" s="3">
        <f t="shared" si="8"/>
        <v>66.801766655862707</v>
      </c>
      <c r="K88">
        <f t="shared" si="9"/>
        <v>5.6323994985839931</v>
      </c>
      <c r="L88" s="10">
        <f t="shared" si="10"/>
        <v>63.99</v>
      </c>
      <c r="M88">
        <f t="shared" si="11"/>
        <v>8.8019995289638899</v>
      </c>
    </row>
    <row r="89" spans="1:13" x14ac:dyDescent="0.3">
      <c r="A89" s="1">
        <v>85</v>
      </c>
      <c r="B89" s="2">
        <v>3.3502890173410345</v>
      </c>
      <c r="C89" s="3">
        <v>20.101734104046713</v>
      </c>
      <c r="D89" s="3">
        <v>-17.988631335236814</v>
      </c>
      <c r="E89" s="3">
        <v>22.215165264088782</v>
      </c>
      <c r="H89" s="3">
        <f t="shared" si="6"/>
        <v>20.100000000000001</v>
      </c>
      <c r="I89" s="3">
        <f t="shared" si="7"/>
        <v>60.394575879431329</v>
      </c>
      <c r="J89" s="3">
        <f t="shared" si="8"/>
        <v>65.967369138230282</v>
      </c>
      <c r="K89">
        <f t="shared" si="9"/>
        <v>5.5727932587989528</v>
      </c>
      <c r="L89" s="10">
        <f t="shared" si="10"/>
        <v>63.18</v>
      </c>
      <c r="M89">
        <f t="shared" si="11"/>
        <v>8.8205021506789372</v>
      </c>
    </row>
    <row r="90" spans="1:13" x14ac:dyDescent="0.3">
      <c r="A90" s="1">
        <v>86</v>
      </c>
      <c r="B90" s="2">
        <v>3.3901734104046182</v>
      </c>
      <c r="C90" s="3">
        <v>20.341040462427713</v>
      </c>
      <c r="D90" s="3">
        <v>-18.1711089195128</v>
      </c>
      <c r="E90" s="3">
        <v>22.511308189583765</v>
      </c>
      <c r="H90" s="3">
        <f t="shared" si="6"/>
        <v>20.34</v>
      </c>
      <c r="I90" s="3">
        <f t="shared" si="7"/>
        <v>59.638723251225855</v>
      </c>
      <c r="J90" s="3">
        <f t="shared" si="8"/>
        <v>65.151234530762281</v>
      </c>
      <c r="K90">
        <f t="shared" si="9"/>
        <v>5.5125112795364259</v>
      </c>
      <c r="L90" s="10">
        <f t="shared" si="10"/>
        <v>62.39</v>
      </c>
      <c r="M90">
        <f t="shared" si="11"/>
        <v>8.8355686480789011</v>
      </c>
    </row>
    <row r="91" spans="1:13" x14ac:dyDescent="0.3">
      <c r="A91" s="1">
        <v>87</v>
      </c>
      <c r="B91" s="2">
        <v>3.4300578034682019</v>
      </c>
      <c r="C91" s="3">
        <v>20.580346820809194</v>
      </c>
      <c r="D91" s="3">
        <v>-18.352646772151235</v>
      </c>
      <c r="E91" s="3">
        <v>22.808390870978517</v>
      </c>
      <c r="H91" s="3">
        <f t="shared" si="6"/>
        <v>20.58</v>
      </c>
      <c r="I91" s="3">
        <f t="shared" si="7"/>
        <v>58.901179348357545</v>
      </c>
      <c r="J91" s="3">
        <f t="shared" si="8"/>
        <v>64.352711003397786</v>
      </c>
      <c r="K91">
        <f t="shared" si="9"/>
        <v>5.4515316550402417</v>
      </c>
      <c r="L91" s="10">
        <f t="shared" si="10"/>
        <v>61.63</v>
      </c>
      <c r="M91">
        <f t="shared" si="11"/>
        <v>8.8455811374983639</v>
      </c>
    </row>
    <row r="92" spans="1:13" x14ac:dyDescent="0.3">
      <c r="A92" s="1">
        <v>88</v>
      </c>
      <c r="B92" s="2">
        <v>3.4699421965317856</v>
      </c>
      <c r="C92" s="3">
        <v>20.819653179191182</v>
      </c>
      <c r="D92" s="3">
        <v>-18.533234066245466</v>
      </c>
      <c r="E92" s="3">
        <v>23.106424119005776</v>
      </c>
      <c r="H92" s="3">
        <f t="shared" si="6"/>
        <v>20.82</v>
      </c>
      <c r="I92" s="3">
        <f t="shared" si="7"/>
        <v>58.181343963024617</v>
      </c>
      <c r="J92" s="3">
        <f t="shared" si="8"/>
        <v>63.571176634690211</v>
      </c>
      <c r="K92">
        <f t="shared" si="9"/>
        <v>5.3898326716655944</v>
      </c>
      <c r="L92" s="10">
        <f t="shared" si="10"/>
        <v>60.88</v>
      </c>
      <c r="M92">
        <f t="shared" si="11"/>
        <v>8.853207410751633</v>
      </c>
    </row>
    <row r="93" spans="1:13" x14ac:dyDescent="0.3">
      <c r="A93" s="1">
        <v>89</v>
      </c>
      <c r="B93" s="2">
        <v>3.5098265895953693</v>
      </c>
      <c r="C93" s="3">
        <v>21.058959537572214</v>
      </c>
      <c r="D93" s="3">
        <v>-18.712859709272408</v>
      </c>
      <c r="E93" s="3">
        <v>23.405418993850333</v>
      </c>
      <c r="H93" s="3">
        <f t="shared" si="6"/>
        <v>21.06</v>
      </c>
      <c r="I93" s="3">
        <f t="shared" si="7"/>
        <v>57.478644941250181</v>
      </c>
      <c r="J93" s="3">
        <f t="shared" si="8"/>
        <v>62.806037569218056</v>
      </c>
      <c r="K93">
        <f t="shared" si="9"/>
        <v>5.3273926279678747</v>
      </c>
      <c r="L93" s="10">
        <f t="shared" si="10"/>
        <v>60.14</v>
      </c>
      <c r="M93">
        <f t="shared" si="11"/>
        <v>8.8583183039040154</v>
      </c>
    </row>
    <row r="94" spans="1:13" x14ac:dyDescent="0.3">
      <c r="A94" s="1">
        <v>90</v>
      </c>
      <c r="B94" s="2">
        <v>3.549710982658953</v>
      </c>
      <c r="C94" s="3">
        <v>21.298265895953701</v>
      </c>
      <c r="D94" s="3">
        <v>-18.891512336107596</v>
      </c>
      <c r="E94" s="3">
        <v>23.705386909959653</v>
      </c>
      <c r="H94" s="3">
        <f t="shared" si="6"/>
        <v>21.3</v>
      </c>
      <c r="I94" s="3">
        <f t="shared" si="7"/>
        <v>56.792536633024298</v>
      </c>
      <c r="J94" s="3">
        <f t="shared" si="8"/>
        <v>62.056726189662285</v>
      </c>
      <c r="K94">
        <f t="shared" si="9"/>
        <v>5.2641895566379873</v>
      </c>
      <c r="L94" s="10">
        <f t="shared" si="10"/>
        <v>59.42</v>
      </c>
      <c r="M94">
        <f t="shared" si="11"/>
        <v>8.859289055264199</v>
      </c>
    </row>
    <row r="95" spans="1:13" x14ac:dyDescent="0.3">
      <c r="A95" s="1">
        <v>91</v>
      </c>
      <c r="B95" s="2">
        <v>3.5895953757225367</v>
      </c>
      <c r="C95" s="3">
        <v>21.5375722543357</v>
      </c>
      <c r="D95" s="3">
        <v>-19.06918030175758</v>
      </c>
      <c r="E95" s="3">
        <v>24.006339496206827</v>
      </c>
      <c r="H95" s="3">
        <f t="shared" si="6"/>
        <v>21.54</v>
      </c>
      <c r="I95" s="3">
        <f t="shared" si="7"/>
        <v>56.122498446943496</v>
      </c>
      <c r="J95" s="3">
        <f t="shared" si="8"/>
        <v>61.322700018855315</v>
      </c>
      <c r="K95">
        <f t="shared" si="9"/>
        <v>5.2002015719118191</v>
      </c>
      <c r="L95" s="10">
        <f t="shared" si="10"/>
        <v>58.72</v>
      </c>
      <c r="M95">
        <f t="shared" si="11"/>
        <v>8.8559291074792554</v>
      </c>
    </row>
    <row r="96" spans="1:13" x14ac:dyDescent="0.3">
      <c r="A96" s="1">
        <v>92</v>
      </c>
      <c r="B96" s="2">
        <v>3.6294797687861204</v>
      </c>
      <c r="C96" s="3">
        <v>21.776878612716708</v>
      </c>
      <c r="D96" s="3">
        <v>-19.245851673775402</v>
      </c>
      <c r="E96" s="3">
        <v>24.30828865277077</v>
      </c>
      <c r="H96" s="3">
        <f t="shared" si="6"/>
        <v>21.78</v>
      </c>
      <c r="I96" s="3">
        <f t="shared" si="7"/>
        <v>55.468033501442889</v>
      </c>
      <c r="J96" s="3">
        <f t="shared" si="8"/>
        <v>60.603440204593248</v>
      </c>
      <c r="K96">
        <f t="shared" si="9"/>
        <v>5.135406703150359</v>
      </c>
      <c r="L96" s="10">
        <f t="shared" si="10"/>
        <v>58.04</v>
      </c>
      <c r="M96">
        <f t="shared" si="11"/>
        <v>8.8480473865443816</v>
      </c>
    </row>
    <row r="97" spans="1:13" x14ac:dyDescent="0.3">
      <c r="A97" s="1">
        <v>93</v>
      </c>
      <c r="B97" s="2">
        <v>3.6693641618497042</v>
      </c>
      <c r="C97" s="3">
        <v>22.016184971098205</v>
      </c>
      <c r="D97" s="3">
        <v>-19.421514224512727</v>
      </c>
      <c r="E97" s="3">
        <v>24.611246656587568</v>
      </c>
      <c r="H97" s="3">
        <f t="shared" si="6"/>
        <v>22.02</v>
      </c>
      <c r="I97" s="3">
        <f t="shared" si="7"/>
        <v>54.828667364722875</v>
      </c>
      <c r="J97" s="3">
        <f t="shared" si="8"/>
        <v>59.898450001044068</v>
      </c>
      <c r="K97">
        <f t="shared" si="9"/>
        <v>5.0697826363211931</v>
      </c>
      <c r="L97" s="10">
        <f t="shared" si="10"/>
        <v>57.36</v>
      </c>
      <c r="M97">
        <f t="shared" si="11"/>
        <v>8.8385331874497783</v>
      </c>
    </row>
    <row r="98" spans="1:13" x14ac:dyDescent="0.3">
      <c r="A98" s="1">
        <v>94</v>
      </c>
      <c r="B98" s="2">
        <v>3.7092485549132879</v>
      </c>
      <c r="C98" s="3">
        <v>22.255491329480233</v>
      </c>
      <c r="D98" s="3">
        <v>-19.596155422939031</v>
      </c>
      <c r="E98" s="3">
        <v>24.915226022619731</v>
      </c>
      <c r="H98" s="3">
        <f t="shared" si="6"/>
        <v>22.26</v>
      </c>
      <c r="I98" s="3">
        <f t="shared" si="7"/>
        <v>54.203946877684857</v>
      </c>
      <c r="J98" s="3">
        <f t="shared" si="8"/>
        <v>59.207253913700093</v>
      </c>
      <c r="K98">
        <f t="shared" si="9"/>
        <v>5.0033070360152365</v>
      </c>
      <c r="L98" s="10">
        <f t="shared" si="10"/>
        <v>56.71</v>
      </c>
      <c r="M98">
        <f t="shared" si="11"/>
        <v>8.8226186492950731</v>
      </c>
    </row>
    <row r="99" spans="1:13" x14ac:dyDescent="0.3">
      <c r="A99" s="1">
        <v>95</v>
      </c>
      <c r="B99" s="2">
        <v>3.7491329479768716</v>
      </c>
      <c r="C99" s="3">
        <v>22.494797687861205</v>
      </c>
      <c r="D99" s="3">
        <v>-19.769762426282668</v>
      </c>
      <c r="E99" s="3">
        <v>25.220239561458502</v>
      </c>
      <c r="H99" s="3">
        <f t="shared" si="6"/>
        <v>22.49</v>
      </c>
      <c r="I99" s="3">
        <f t="shared" si="7"/>
        <v>53.593439052799177</v>
      </c>
      <c r="J99" s="3">
        <f t="shared" si="8"/>
        <v>58.529396443656886</v>
      </c>
      <c r="K99">
        <f t="shared" si="9"/>
        <v>4.935957390857709</v>
      </c>
      <c r="L99" s="10">
        <f t="shared" si="10"/>
        <v>56.06</v>
      </c>
      <c r="M99">
        <f t="shared" si="11"/>
        <v>8.8047759380265944</v>
      </c>
    </row>
    <row r="100" spans="1:13" x14ac:dyDescent="0.3">
      <c r="A100" s="1">
        <v>96</v>
      </c>
      <c r="B100" s="2">
        <v>3.7890173410404553</v>
      </c>
      <c r="C100" s="3">
        <v>22.734104046242724</v>
      </c>
      <c r="D100" s="3">
        <v>-19.942322071280941</v>
      </c>
      <c r="E100" s="3">
        <v>25.526300485670923</v>
      </c>
      <c r="H100" s="3">
        <f t="shared" si="6"/>
        <v>22.73</v>
      </c>
      <c r="I100" s="3">
        <f t="shared" si="7"/>
        <v>52.996730044077523</v>
      </c>
      <c r="J100" s="3">
        <f t="shared" si="8"/>
        <v>57.864440815088656</v>
      </c>
      <c r="K100">
        <f t="shared" si="9"/>
        <v>4.8677107710111329</v>
      </c>
      <c r="L100" s="10">
        <f t="shared" si="10"/>
        <v>55.43</v>
      </c>
      <c r="M100">
        <f t="shared" si="11"/>
        <v>8.7817260887806832</v>
      </c>
    </row>
    <row r="101" spans="1:13" x14ac:dyDescent="0.3">
      <c r="A101" s="1">
        <v>97</v>
      </c>
      <c r="B101" s="2">
        <v>3.828901734104039</v>
      </c>
      <c r="C101" s="3">
        <v>22.973410404624218</v>
      </c>
      <c r="D101" s="3">
        <v>-20.113820865123433</v>
      </c>
      <c r="E101" s="3">
        <v>25.833422272000618</v>
      </c>
      <c r="H101" s="3">
        <f t="shared" si="6"/>
        <v>22.97</v>
      </c>
      <c r="I101" s="3">
        <f t="shared" si="7"/>
        <v>52.413424182688871</v>
      </c>
      <c r="J101" s="3">
        <f t="shared" si="8"/>
        <v>57.21196831036135</v>
      </c>
      <c r="K101">
        <f t="shared" si="9"/>
        <v>4.7985441276724785</v>
      </c>
      <c r="L101" s="10">
        <f t="shared" si="10"/>
        <v>54.81</v>
      </c>
      <c r="M101">
        <f t="shared" si="11"/>
        <v>8.7548697822887753</v>
      </c>
    </row>
    <row r="102" spans="1:13" x14ac:dyDescent="0.3">
      <c r="A102" s="1">
        <v>98</v>
      </c>
      <c r="B102" s="2">
        <v>3.8687861271676227</v>
      </c>
      <c r="C102" s="3">
        <v>23.212716763005456</v>
      </c>
      <c r="D102" s="3">
        <v>-20.284244976074159</v>
      </c>
      <c r="E102" s="3">
        <v>26.141618720109296</v>
      </c>
      <c r="H102" s="3">
        <f t="shared" si="6"/>
        <v>23.21</v>
      </c>
      <c r="I102" s="3">
        <f t="shared" si="7"/>
        <v>51.843143073553833</v>
      </c>
      <c r="J102" s="3">
        <f t="shared" si="8"/>
        <v>56.571577220790552</v>
      </c>
      <c r="K102">
        <f t="shared" si="9"/>
        <v>4.7284341472367188</v>
      </c>
      <c r="L102" s="10">
        <f t="shared" si="10"/>
        <v>54.21</v>
      </c>
      <c r="M102">
        <f t="shared" si="11"/>
        <v>8.7224389360574044</v>
      </c>
    </row>
    <row r="103" spans="1:13" x14ac:dyDescent="0.3">
      <c r="A103" s="1">
        <v>99</v>
      </c>
      <c r="B103" s="2">
        <v>3.9086705202312064</v>
      </c>
      <c r="C103" s="3">
        <v>23.452023121387217</v>
      </c>
      <c r="D103" s="3">
        <v>-20.453580223648142</v>
      </c>
      <c r="E103" s="3">
        <v>26.450904107712741</v>
      </c>
      <c r="H103" s="3">
        <f t="shared" si="6"/>
        <v>23.45</v>
      </c>
      <c r="I103" s="3">
        <f t="shared" si="7"/>
        <v>51.285524748993836</v>
      </c>
      <c r="J103" s="3">
        <f t="shared" si="8"/>
        <v>55.942881675693179</v>
      </c>
      <c r="K103">
        <f t="shared" si="9"/>
        <v>4.6573569266993431</v>
      </c>
      <c r="L103" s="10">
        <f t="shared" si="10"/>
        <v>53.61</v>
      </c>
      <c r="M103">
        <f t="shared" si="11"/>
        <v>8.6874779457178573</v>
      </c>
    </row>
    <row r="104" spans="1:13" x14ac:dyDescent="0.3">
      <c r="A104" s="1">
        <v>100</v>
      </c>
      <c r="B104" s="2">
        <v>3.9485549132947901</v>
      </c>
      <c r="C104" s="3">
        <v>23.691329479768736</v>
      </c>
      <c r="D104" s="3">
        <v>-20.621812068596373</v>
      </c>
      <c r="E104" s="3">
        <v>26.761292768568946</v>
      </c>
      <c r="H104" s="3">
        <f t="shared" si="6"/>
        <v>23.69</v>
      </c>
      <c r="I104" s="3">
        <f t="shared" si="7"/>
        <v>50.740222874597478</v>
      </c>
      <c r="J104" s="3">
        <f t="shared" si="8"/>
        <v>55.325511698368189</v>
      </c>
      <c r="K104">
        <f t="shared" si="9"/>
        <v>4.5852888237707106</v>
      </c>
      <c r="L104" s="10">
        <f t="shared" si="10"/>
        <v>53.03</v>
      </c>
      <c r="M104">
        <f t="shared" si="11"/>
        <v>8.6465940482193293</v>
      </c>
    </row>
    <row r="105" spans="1:13" x14ac:dyDescent="0.3">
      <c r="A105" s="1">
        <v>101</v>
      </c>
      <c r="B105" s="2">
        <v>3.9884393063583738</v>
      </c>
      <c r="C105" s="3">
        <v>23.930635838150227</v>
      </c>
      <c r="D105" s="3">
        <v>-20.788925602212863</v>
      </c>
      <c r="E105" s="3">
        <v>27.072799630484457</v>
      </c>
      <c r="H105" s="3">
        <f t="shared" si="6"/>
        <v>23.93</v>
      </c>
      <c r="I105" s="3">
        <f t="shared" si="7"/>
        <v>50.206906005237862</v>
      </c>
      <c r="J105" s="3">
        <f t="shared" si="8"/>
        <v>54.719111352192179</v>
      </c>
      <c r="K105">
        <f t="shared" si="9"/>
        <v>4.5122053469543175</v>
      </c>
      <c r="L105" s="10">
        <f t="shared" si="10"/>
        <v>52.46</v>
      </c>
      <c r="M105">
        <f t="shared" si="11"/>
        <v>8.601230169565989</v>
      </c>
    </row>
    <row r="106" spans="1:13" x14ac:dyDescent="0.3">
      <c r="A106" s="1">
        <v>102</v>
      </c>
      <c r="B106" s="2">
        <v>4.028323699421958</v>
      </c>
      <c r="C106" s="3">
        <v>24.16994219653175</v>
      </c>
      <c r="D106" s="3">
        <v>-20.954905535532713</v>
      </c>
      <c r="E106" s="3">
        <v>27.385440043192098</v>
      </c>
      <c r="H106" s="3">
        <f t="shared" si="6"/>
        <v>24.17</v>
      </c>
      <c r="I106" s="3">
        <f t="shared" si="7"/>
        <v>49.68525688598492</v>
      </c>
      <c r="J106" s="3">
        <f t="shared" si="8"/>
        <v>54.12333840588682</v>
      </c>
      <c r="K106">
        <f t="shared" si="9"/>
        <v>4.4380815199018997</v>
      </c>
      <c r="L106" s="10">
        <f t="shared" si="10"/>
        <v>51.9</v>
      </c>
      <c r="M106">
        <f t="shared" si="11"/>
        <v>8.5512168013524086</v>
      </c>
    </row>
    <row r="107" spans="1:13" x14ac:dyDescent="0.3">
      <c r="A107" s="1">
        <v>103</v>
      </c>
      <c r="B107" s="2">
        <v>4.0682080924855422</v>
      </c>
      <c r="C107" s="3">
        <v>24.409248554913383</v>
      </c>
      <c r="D107" s="3">
        <v>-21.11973618787</v>
      </c>
      <c r="E107" s="3">
        <v>27.69922972864568</v>
      </c>
      <c r="H107" s="3">
        <f t="shared" si="6"/>
        <v>24.41</v>
      </c>
      <c r="I107" s="3">
        <f t="shared" si="7"/>
        <v>49.174971796590867</v>
      </c>
      <c r="J107" s="3">
        <f t="shared" si="8"/>
        <v>53.537863768630906</v>
      </c>
      <c r="K107">
        <f t="shared" si="9"/>
        <v>4.362891972040039</v>
      </c>
      <c r="L107" s="10">
        <f t="shared" si="10"/>
        <v>51.36</v>
      </c>
      <c r="M107">
        <f t="shared" si="11"/>
        <v>8.4947273598910424</v>
      </c>
    </row>
    <row r="108" spans="1:13" x14ac:dyDescent="0.3">
      <c r="A108" s="1">
        <v>104</v>
      </c>
      <c r="B108" s="2">
        <v>4.1080924855491263</v>
      </c>
      <c r="C108" s="3">
        <v>24.64855491329476</v>
      </c>
      <c r="D108" s="3">
        <v>-21.283401475075529</v>
      </c>
      <c r="E108" s="3">
        <v>28.014184970805481</v>
      </c>
      <c r="H108" s="3">
        <f t="shared" si="6"/>
        <v>24.65</v>
      </c>
      <c r="I108" s="3">
        <f t="shared" si="7"/>
        <v>48.675759935443956</v>
      </c>
      <c r="J108" s="3">
        <f t="shared" si="8"/>
        <v>52.96237051782952</v>
      </c>
      <c r="K108">
        <f t="shared" si="9"/>
        <v>4.2866105823855634</v>
      </c>
      <c r="L108" s="10">
        <f t="shared" si="10"/>
        <v>50.82</v>
      </c>
      <c r="M108">
        <f t="shared" si="11"/>
        <v>8.4348889854103959</v>
      </c>
    </row>
    <row r="109" spans="1:13" x14ac:dyDescent="0.3">
      <c r="A109" s="1">
        <v>105</v>
      </c>
      <c r="B109" s="2">
        <v>4.1479768786127105</v>
      </c>
      <c r="C109" s="3">
        <v>24.887861271676268</v>
      </c>
      <c r="D109" s="3">
        <v>-21.445884897189565</v>
      </c>
      <c r="E109" s="3">
        <v>28.330322333734895</v>
      </c>
      <c r="H109" s="3">
        <f t="shared" si="6"/>
        <v>24.89</v>
      </c>
      <c r="I109" s="3">
        <f t="shared" si="7"/>
        <v>48.187342841357165</v>
      </c>
      <c r="J109" s="3">
        <f t="shared" si="8"/>
        <v>52.39655383994014</v>
      </c>
      <c r="K109">
        <f t="shared" si="9"/>
        <v>4.2092109985829751</v>
      </c>
      <c r="L109" s="10">
        <f t="shared" si="10"/>
        <v>50.29</v>
      </c>
      <c r="M109">
        <f t="shared" si="11"/>
        <v>8.3698767122349871</v>
      </c>
    </row>
    <row r="110" spans="1:13" x14ac:dyDescent="0.3">
      <c r="A110" s="1">
        <v>106</v>
      </c>
      <c r="B110" s="2">
        <v>4.1878612716762946</v>
      </c>
      <c r="C110" s="3">
        <v>25.127167630057752</v>
      </c>
      <c r="D110" s="3">
        <v>-21.607169525634255</v>
      </c>
      <c r="E110" s="3">
        <v>28.647658672046624</v>
      </c>
      <c r="H110" s="3">
        <f t="shared" si="6"/>
        <v>25.13</v>
      </c>
      <c r="I110" s="3">
        <f t="shared" si="7"/>
        <v>47.709453850268218</v>
      </c>
      <c r="J110" s="3">
        <f t="shared" si="8"/>
        <v>51.840120433414867</v>
      </c>
      <c r="K110">
        <f t="shared" si="9"/>
        <v>4.1306665831466489</v>
      </c>
      <c r="L110" s="10">
        <f t="shared" si="10"/>
        <v>49.77</v>
      </c>
      <c r="M110">
        <f t="shared" si="11"/>
        <v>8.2995109165092398</v>
      </c>
    </row>
    <row r="111" spans="1:13" x14ac:dyDescent="0.3">
      <c r="A111" s="1">
        <v>107</v>
      </c>
      <c r="B111" s="2">
        <v>4.2277456647398788</v>
      </c>
      <c r="C111" s="3">
        <v>25.366473988439278</v>
      </c>
      <c r="D111" s="3">
        <v>-21.767237989974344</v>
      </c>
      <c r="E111" s="3">
        <v>28.966211153488342</v>
      </c>
      <c r="H111" s="3">
        <f t="shared" si="6"/>
        <v>25.37</v>
      </c>
      <c r="I111" s="3">
        <f t="shared" si="7"/>
        <v>47.241837584507209</v>
      </c>
      <c r="J111" s="3">
        <f t="shared" si="8"/>
        <v>51.292787925796908</v>
      </c>
      <c r="K111">
        <f t="shared" si="9"/>
        <v>4.050950341289699</v>
      </c>
      <c r="L111" s="10">
        <f t="shared" si="10"/>
        <v>49.27</v>
      </c>
      <c r="M111">
        <f t="shared" si="11"/>
        <v>8.2219410214931994</v>
      </c>
    </row>
    <row r="112" spans="1:13" x14ac:dyDescent="0.3">
      <c r="A112" s="1">
        <v>108</v>
      </c>
      <c r="B112" s="2">
        <v>4.2676300578034629</v>
      </c>
      <c r="C112" s="3">
        <v>25.605780346820762</v>
      </c>
      <c r="D112" s="3">
        <v>-21.926072464049312</v>
      </c>
      <c r="E112" s="3">
        <v>29.285997555260607</v>
      </c>
      <c r="H112" s="3">
        <f t="shared" si="6"/>
        <v>25.61</v>
      </c>
      <c r="I112" s="3">
        <f t="shared" si="7"/>
        <v>46.784249473116674</v>
      </c>
      <c r="J112" s="3">
        <f t="shared" si="8"/>
        <v>50.754283869362453</v>
      </c>
      <c r="K112">
        <f t="shared" si="9"/>
        <v>3.9700343962457794</v>
      </c>
      <c r="L112" s="10">
        <f t="shared" si="10"/>
        <v>48.77</v>
      </c>
      <c r="M112">
        <f t="shared" si="11"/>
        <v>8.1403206812503157</v>
      </c>
    </row>
    <row r="113" spans="1:13" x14ac:dyDescent="0.3">
      <c r="A113" s="1">
        <v>109</v>
      </c>
      <c r="B113" s="2">
        <v>4.3075144508670471</v>
      </c>
      <c r="C113" s="3">
        <v>25.845086705202242</v>
      </c>
      <c r="D113" s="3">
        <v>-22.083654651518017</v>
      </c>
      <c r="E113" s="3">
        <v>29.60703629467876</v>
      </c>
      <c r="H113" s="3">
        <f t="shared" si="6"/>
        <v>25.85</v>
      </c>
      <c r="I113" s="3">
        <f t="shared" si="7"/>
        <v>46.336455301135373</v>
      </c>
      <c r="J113" s="3">
        <f t="shared" si="8"/>
        <v>50.224345257253155</v>
      </c>
      <c r="K113">
        <f t="shared" si="9"/>
        <v>3.8878899561177818</v>
      </c>
      <c r="L113" s="10">
        <f t="shared" si="10"/>
        <v>48.28</v>
      </c>
      <c r="M113">
        <f t="shared" si="11"/>
        <v>8.0527960980070041</v>
      </c>
    </row>
    <row r="114" spans="1:13" x14ac:dyDescent="0.3">
      <c r="A114" s="1">
        <v>110</v>
      </c>
      <c r="B114" s="2">
        <v>4.3473988439306313</v>
      </c>
      <c r="C114" s="3">
        <v>26.084393063583779</v>
      </c>
      <c r="D114" s="3">
        <v>-22.239965770899826</v>
      </c>
      <c r="E114" s="3">
        <v>29.929346062904028</v>
      </c>
      <c r="H114" s="3">
        <f t="shared" si="6"/>
        <v>26.08</v>
      </c>
      <c r="I114" s="3">
        <f t="shared" si="7"/>
        <v>45.898230785801715</v>
      </c>
      <c r="J114" s="3">
        <f t="shared" si="8"/>
        <v>49.702718703680056</v>
      </c>
      <c r="K114">
        <f t="shared" si="9"/>
        <v>3.8044879178783404</v>
      </c>
      <c r="L114" s="10">
        <f t="shared" si="10"/>
        <v>47.8</v>
      </c>
      <c r="M114">
        <f t="shared" si="11"/>
        <v>7.9591797445153567</v>
      </c>
    </row>
    <row r="115" spans="1:13" x14ac:dyDescent="0.3">
      <c r="A115" s="1">
        <v>111</v>
      </c>
      <c r="B115" s="2">
        <v>4.3872832369942154</v>
      </c>
      <c r="C115" s="3">
        <v>26.323699421965255</v>
      </c>
      <c r="D115" s="3">
        <v>-22.394986539911532</v>
      </c>
      <c r="E115" s="3">
        <v>30.252946195025686</v>
      </c>
      <c r="H115" s="3">
        <f t="shared" si="6"/>
        <v>26.32</v>
      </c>
      <c r="I115" s="3">
        <f t="shared" si="7"/>
        <v>45.469361178578573</v>
      </c>
      <c r="J115" s="3">
        <f t="shared" si="8"/>
        <v>49.189159419254338</v>
      </c>
      <c r="K115">
        <f t="shared" si="9"/>
        <v>3.7197982406757646</v>
      </c>
      <c r="L115" s="10">
        <f t="shared" si="10"/>
        <v>47.33</v>
      </c>
      <c r="M115">
        <f t="shared" si="11"/>
        <v>7.8592821480578179</v>
      </c>
    </row>
    <row r="116" spans="1:13" x14ac:dyDescent="0.3">
      <c r="A116" s="1">
        <v>112</v>
      </c>
      <c r="B116" s="2">
        <v>4.4271676300577996</v>
      </c>
      <c r="C116" s="3">
        <v>26.563005780346788</v>
      </c>
      <c r="D116" s="3">
        <v>-22.548697159187352</v>
      </c>
      <c r="E116" s="3">
        <v>30.577856434198495</v>
      </c>
      <c r="H116" s="3">
        <f t="shared" si="6"/>
        <v>26.56</v>
      </c>
      <c r="I116" s="3">
        <f t="shared" si="7"/>
        <v>45.049640891187465</v>
      </c>
      <c r="J116" s="3">
        <f t="shared" si="8"/>
        <v>48.683431211153106</v>
      </c>
      <c r="K116">
        <f t="shared" si="9"/>
        <v>3.6337903199656409</v>
      </c>
      <c r="L116" s="10">
        <f t="shared" si="10"/>
        <v>46.87</v>
      </c>
      <c r="M116">
        <f t="shared" si="11"/>
        <v>7.7529129933126546</v>
      </c>
    </row>
    <row r="117" spans="1:13" x14ac:dyDescent="0.3">
      <c r="A117" s="1">
        <v>113</v>
      </c>
      <c r="B117" s="2">
        <v>4.4670520231213837</v>
      </c>
      <c r="C117" s="3">
        <v>26.802312138728297</v>
      </c>
      <c r="D117" s="3">
        <v>-22.701077295276846</v>
      </c>
      <c r="E117" s="3">
        <v>30.904097319353067</v>
      </c>
      <c r="H117" s="3">
        <f t="shared" si="6"/>
        <v>26.8</v>
      </c>
      <c r="I117" s="3">
        <f t="shared" si="7"/>
        <v>44.638873144500678</v>
      </c>
      <c r="J117" s="3">
        <f t="shared" si="8"/>
        <v>48.185305516685872</v>
      </c>
      <c r="K117">
        <f t="shared" si="9"/>
        <v>3.546432372185194</v>
      </c>
      <c r="L117" s="10">
        <f t="shared" si="10"/>
        <v>46.41</v>
      </c>
      <c r="M117">
        <f t="shared" si="11"/>
        <v>7.6415263352406688</v>
      </c>
    </row>
    <row r="118" spans="1:13" x14ac:dyDescent="0.3">
      <c r="A118" s="1">
        <v>114</v>
      </c>
      <c r="B118" s="2">
        <v>4.5069364161849679</v>
      </c>
      <c r="C118" s="3">
        <v>27.041618497109777</v>
      </c>
      <c r="D118" s="3">
        <v>-22.852106062940788</v>
      </c>
      <c r="E118" s="3">
        <v>31.231689685588425</v>
      </c>
      <c r="H118" s="3">
        <f t="shared" si="6"/>
        <v>27.04</v>
      </c>
      <c r="I118" s="3">
        <f t="shared" si="7"/>
        <v>44.236869638889146</v>
      </c>
      <c r="J118" s="3">
        <f t="shared" si="8"/>
        <v>47.69456183934048</v>
      </c>
      <c r="K118">
        <f t="shared" si="9"/>
        <v>3.4576922004513335</v>
      </c>
      <c r="L118" s="10">
        <f t="shared" si="10"/>
        <v>45.97</v>
      </c>
      <c r="M118">
        <f t="shared" si="11"/>
        <v>7.5216275841882396</v>
      </c>
    </row>
    <row r="119" spans="1:13" x14ac:dyDescent="0.3">
      <c r="A119" s="1">
        <v>115</v>
      </c>
      <c r="B119" s="2">
        <v>4.546820809248552</v>
      </c>
      <c r="C119" s="3">
        <v>27.28092485549131</v>
      </c>
      <c r="D119" s="3">
        <v>-23.001762006720814</v>
      </c>
      <c r="E119" s="3">
        <v>31.560654935609392</v>
      </c>
      <c r="H119" s="3">
        <f t="shared" si="6"/>
        <v>27.28</v>
      </c>
      <c r="I119" s="3">
        <f t="shared" si="7"/>
        <v>43.84345024484827</v>
      </c>
      <c r="J119" s="3">
        <f t="shared" si="8"/>
        <v>47.210986993056821</v>
      </c>
      <c r="K119">
        <f t="shared" si="9"/>
        <v>3.3675367482085505</v>
      </c>
      <c r="L119" s="10">
        <f t="shared" si="10"/>
        <v>45.53</v>
      </c>
      <c r="M119">
        <f t="shared" si="11"/>
        <v>7.3963029831068532</v>
      </c>
    </row>
    <row r="120" spans="1:13" x14ac:dyDescent="0.3">
      <c r="A120" s="1">
        <v>116</v>
      </c>
      <c r="B120" s="2">
        <v>4.5867052023121362</v>
      </c>
      <c r="C120" s="3">
        <v>27.52023121387279</v>
      </c>
      <c r="D120" s="3">
        <v>-23.150023081575064</v>
      </c>
      <c r="E120" s="3">
        <v>31.891015066279724</v>
      </c>
      <c r="H120" s="3">
        <f t="shared" si="6"/>
        <v>27.52</v>
      </c>
      <c r="I120" s="3">
        <f t="shared" si="7"/>
        <v>43.458442713286018</v>
      </c>
      <c r="J120" s="3">
        <f t="shared" si="8"/>
        <v>46.73437475917541</v>
      </c>
      <c r="K120">
        <f t="shared" si="9"/>
        <v>3.275932045889391</v>
      </c>
      <c r="L120" s="10">
        <f t="shared" si="10"/>
        <v>45.1</v>
      </c>
      <c r="M120">
        <f t="shared" si="11"/>
        <v>7.2637074188234836</v>
      </c>
    </row>
    <row r="121" spans="1:13" x14ac:dyDescent="0.3">
      <c r="A121" s="1">
        <v>117</v>
      </c>
      <c r="B121" s="2">
        <v>4.6265895953757203</v>
      </c>
      <c r="C121" s="3">
        <v>27.759537572254327</v>
      </c>
      <c r="D121" s="3">
        <v>-23.296866632865697</v>
      </c>
      <c r="E121" s="3">
        <v>32.222792530572605</v>
      </c>
      <c r="H121" s="3">
        <f t="shared" si="6"/>
        <v>27.76</v>
      </c>
      <c r="I121" s="3">
        <f t="shared" si="7"/>
        <v>43.081682403636528</v>
      </c>
      <c r="J121" s="3">
        <f t="shared" si="8"/>
        <v>46.264525793258521</v>
      </c>
      <c r="K121">
        <f t="shared" si="9"/>
        <v>3.1828433896219934</v>
      </c>
      <c r="L121" s="10">
        <f t="shared" si="10"/>
        <v>44.67</v>
      </c>
      <c r="M121">
        <f t="shared" si="11"/>
        <v>7.1252370486276995</v>
      </c>
    </row>
    <row r="122" spans="1:13" x14ac:dyDescent="0.3">
      <c r="A122" s="1">
        <v>118</v>
      </c>
      <c r="B122" s="2">
        <v>4.6664739884393045</v>
      </c>
      <c r="C122" s="3">
        <v>27.998843930635829</v>
      </c>
      <c r="D122" s="3">
        <v>-23.44226937526599</v>
      </c>
      <c r="E122" s="3">
        <v>32.556010596279066</v>
      </c>
      <c r="H122" s="3">
        <f t="shared" si="6"/>
        <v>28</v>
      </c>
      <c r="I122" s="3">
        <f t="shared" si="7"/>
        <v>42.713012029927221</v>
      </c>
      <c r="J122" s="3">
        <f t="shared" si="8"/>
        <v>45.801246840073794</v>
      </c>
      <c r="K122">
        <f t="shared" si="9"/>
        <v>3.0882348101465737</v>
      </c>
      <c r="L122" s="10">
        <f t="shared" si="10"/>
        <v>44.26</v>
      </c>
      <c r="M122">
        <f t="shared" si="11"/>
        <v>6.9774848851029683</v>
      </c>
    </row>
    <row r="123" spans="1:13" x14ac:dyDescent="0.3">
      <c r="A123" s="1">
        <v>119</v>
      </c>
      <c r="B123" s="2">
        <v>4.7063583815028887</v>
      </c>
      <c r="C123" s="3">
        <v>28.238150289017312</v>
      </c>
      <c r="D123" s="3">
        <v>-23.586207370898418</v>
      </c>
      <c r="E123" s="3">
        <v>32.890693377268072</v>
      </c>
      <c r="H123" s="3">
        <f t="shared" si="6"/>
        <v>28.24</v>
      </c>
      <c r="I123" s="3">
        <f t="shared" si="7"/>
        <v>42.352281423048581</v>
      </c>
      <c r="J123" s="3">
        <f t="shared" si="8"/>
        <v>45.344350459241305</v>
      </c>
      <c r="K123">
        <f t="shared" si="9"/>
        <v>2.9920690361927242</v>
      </c>
      <c r="L123" s="10">
        <f t="shared" si="10"/>
        <v>43.85</v>
      </c>
      <c r="M123">
        <f t="shared" si="11"/>
        <v>6.8234185546014237</v>
      </c>
    </row>
    <row r="124" spans="1:13" x14ac:dyDescent="0.3">
      <c r="A124" s="1">
        <v>120</v>
      </c>
      <c r="B124" s="2">
        <v>4.7462427745664728</v>
      </c>
      <c r="C124" s="3">
        <v>28.477456647398835</v>
      </c>
      <c r="D124" s="3">
        <v>-23.728656006313692</v>
      </c>
      <c r="E124" s="3">
        <v>33.226865641410598</v>
      </c>
      <c r="H124" s="3">
        <f t="shared" si="6"/>
        <v>28.48</v>
      </c>
      <c r="I124" s="3">
        <f t="shared" si="7"/>
        <v>41.999347309352025</v>
      </c>
      <c r="J124" s="3">
        <f t="shared" si="8"/>
        <v>44.893655062097139</v>
      </c>
      <c r="K124">
        <f t="shared" si="9"/>
        <v>2.8943077527451138</v>
      </c>
      <c r="L124" s="10">
        <f t="shared" si="10"/>
        <v>43.45</v>
      </c>
      <c r="M124">
        <f t="shared" si="11"/>
        <v>6.6612376357770158</v>
      </c>
    </row>
    <row r="125" spans="1:13" x14ac:dyDescent="0.3">
      <c r="A125" s="1">
        <v>121</v>
      </c>
      <c r="B125" s="2">
        <v>4.786127167630057</v>
      </c>
      <c r="C125" s="3">
        <v>28.716763005780322</v>
      </c>
      <c r="D125" s="3">
        <v>-23.869589968633033</v>
      </c>
      <c r="E125" s="3">
        <v>33.564552526795111</v>
      </c>
      <c r="H125" s="3">
        <f t="shared" si="6"/>
        <v>28.72</v>
      </c>
      <c r="I125" s="3">
        <f t="shared" si="7"/>
        <v>41.654073103946835</v>
      </c>
      <c r="J125" s="3">
        <f t="shared" si="8"/>
        <v>44.448985050273272</v>
      </c>
      <c r="K125">
        <f t="shared" si="9"/>
        <v>2.7949119463264367</v>
      </c>
      <c r="L125" s="10">
        <f t="shared" si="10"/>
        <v>43.05</v>
      </c>
      <c r="M125">
        <f t="shared" si="11"/>
        <v>6.4922461006421299</v>
      </c>
    </row>
    <row r="126" spans="1:13" x14ac:dyDescent="0.3">
      <c r="A126" s="1">
        <v>122</v>
      </c>
      <c r="B126" s="2">
        <v>4.8260115606936411</v>
      </c>
      <c r="C126" s="3">
        <v>28.956069364161852</v>
      </c>
      <c r="D126" s="3">
        <v>-24.008983220422319</v>
      </c>
      <c r="E126" s="3">
        <v>33.903780172226014</v>
      </c>
      <c r="H126" s="3">
        <f t="shared" si="6"/>
        <v>28.96</v>
      </c>
      <c r="I126" s="3">
        <f t="shared" si="7"/>
        <v>41.316328719022145</v>
      </c>
      <c r="J126" s="3">
        <f t="shared" si="8"/>
        <v>44.010169753425913</v>
      </c>
      <c r="K126">
        <f t="shared" si="9"/>
        <v>2.6938410344037678</v>
      </c>
      <c r="L126" s="10">
        <f t="shared" si="10"/>
        <v>42.66</v>
      </c>
      <c r="M126">
        <f t="shared" si="11"/>
        <v>6.3146765926014243</v>
      </c>
    </row>
    <row r="127" spans="1:13" x14ac:dyDescent="0.3">
      <c r="A127" s="1">
        <v>123</v>
      </c>
      <c r="B127" s="2">
        <v>4.8658959537572253</v>
      </c>
      <c r="C127" s="3">
        <v>29.195375722543364</v>
      </c>
      <c r="D127" s="3">
        <v>-24.146808973465607</v>
      </c>
      <c r="E127" s="3">
        <v>34.24457533315622</v>
      </c>
      <c r="H127" s="3">
        <f t="shared" si="6"/>
        <v>29.2</v>
      </c>
      <c r="I127" s="3">
        <f t="shared" si="7"/>
        <v>40.985990386061282</v>
      </c>
      <c r="J127" s="3">
        <f t="shared" si="8"/>
        <v>43.577043742082481</v>
      </c>
      <c r="K127">
        <f t="shared" si="9"/>
        <v>2.5910533560211988</v>
      </c>
      <c r="L127" s="10">
        <f t="shared" si="10"/>
        <v>42.28</v>
      </c>
      <c r="M127">
        <f t="shared" si="11"/>
        <v>6.128319195887415</v>
      </c>
    </row>
    <row r="128" spans="1:13" x14ac:dyDescent="0.3">
      <c r="A128" s="1">
        <v>124</v>
      </c>
      <c r="B128" s="2">
        <v>4.9057803468208094</v>
      </c>
      <c r="C128" s="3">
        <v>29.434682080924816</v>
      </c>
      <c r="D128" s="3">
        <v>-24.283039661403212</v>
      </c>
      <c r="E128" s="3">
        <v>34.586965416343361</v>
      </c>
      <c r="H128" s="3">
        <f t="shared" si="6"/>
        <v>29.43</v>
      </c>
      <c r="I128" s="3">
        <f t="shared" si="7"/>
        <v>40.662940491390927</v>
      </c>
      <c r="J128" s="3">
        <f t="shared" si="8"/>
        <v>43.149446578220292</v>
      </c>
      <c r="K128">
        <f t="shared" si="9"/>
        <v>2.4865060868293654</v>
      </c>
      <c r="L128" s="10">
        <f t="shared" si="10"/>
        <v>41.91</v>
      </c>
      <c r="M128">
        <f t="shared" si="11"/>
        <v>5.9329660864456351</v>
      </c>
    </row>
    <row r="129" spans="1:13" x14ac:dyDescent="0.3">
      <c r="A129" s="1">
        <v>125</v>
      </c>
      <c r="B129" s="2">
        <v>4.9456647398843936</v>
      </c>
      <c r="C129" s="3">
        <v>29.673988439306346</v>
      </c>
      <c r="D129" s="3">
        <v>-24.417646910912673</v>
      </c>
      <c r="E129" s="3">
        <v>34.930978871230323</v>
      </c>
      <c r="H129" s="3">
        <f t="shared" si="6"/>
        <v>29.67</v>
      </c>
      <c r="I129" s="3">
        <f t="shared" si="7"/>
        <v>40.347067425226783</v>
      </c>
      <c r="J129" s="3">
        <f t="shared" si="8"/>
        <v>42.72722214542565</v>
      </c>
      <c r="K129">
        <f t="shared" si="9"/>
        <v>2.3801547201988669</v>
      </c>
      <c r="L129" s="10">
        <f t="shared" si="10"/>
        <v>41.54</v>
      </c>
      <c r="M129">
        <f t="shared" si="11"/>
        <v>5.7297898897420962</v>
      </c>
    </row>
    <row r="130" spans="1:13" x14ac:dyDescent="0.3">
      <c r="A130" s="1">
        <v>126</v>
      </c>
      <c r="B130" s="2">
        <v>4.9855491329479777</v>
      </c>
      <c r="C130" s="3">
        <v>29.913294797687854</v>
      </c>
      <c r="D130" s="3">
        <v>-24.550601511739856</v>
      </c>
      <c r="E130" s="3">
        <v>35.276645048278979</v>
      </c>
      <c r="H130" s="3">
        <f t="shared" si="6"/>
        <v>29.91</v>
      </c>
      <c r="I130" s="3">
        <f t="shared" si="7"/>
        <v>40.038265442916703</v>
      </c>
      <c r="J130" s="3">
        <f t="shared" si="8"/>
        <v>42.310218673699389</v>
      </c>
      <c r="K130">
        <f t="shared" si="9"/>
        <v>2.2719532307826853</v>
      </c>
      <c r="L130" s="10">
        <f t="shared" si="10"/>
        <v>41.17</v>
      </c>
      <c r="M130">
        <f t="shared" si="11"/>
        <v>5.5184678911408431</v>
      </c>
    </row>
    <row r="131" spans="1:13" x14ac:dyDescent="0.3">
      <c r="A131" s="1">
        <v>127</v>
      </c>
      <c r="B131" s="2">
        <v>5.0254335260115619</v>
      </c>
      <c r="C131" s="3">
        <v>30.152601156069334</v>
      </c>
      <c r="D131" s="3">
        <v>-24.681873385006849</v>
      </c>
      <c r="E131" s="3">
        <v>35.623993883152067</v>
      </c>
      <c r="H131" s="3">
        <f t="shared" si="6"/>
        <v>30.15</v>
      </c>
      <c r="I131" s="3">
        <f t="shared" si="7"/>
        <v>39.736434539210883</v>
      </c>
      <c r="J131" s="3">
        <f t="shared" si="8"/>
        <v>41.89828895687711</v>
      </c>
      <c r="K131">
        <f t="shared" si="9"/>
        <v>2.1618544176662269</v>
      </c>
      <c r="L131" s="10">
        <f t="shared" si="10"/>
        <v>40.82</v>
      </c>
      <c r="M131">
        <f t="shared" si="11"/>
        <v>5.2960666772813001</v>
      </c>
    </row>
    <row r="132" spans="1:13" x14ac:dyDescent="0.3">
      <c r="A132" s="1">
        <v>128</v>
      </c>
      <c r="B132" s="2">
        <v>5.0653179190751461</v>
      </c>
      <c r="C132" s="3">
        <v>30.391907514450864</v>
      </c>
      <c r="D132" s="3">
        <v>-24.811431550358133</v>
      </c>
      <c r="E132" s="3">
        <v>35.973056326827219</v>
      </c>
      <c r="H132" s="3">
        <f t="shared" si="6"/>
        <v>30.39</v>
      </c>
      <c r="I132" s="3">
        <f t="shared" si="7"/>
        <v>39.441480333762705</v>
      </c>
      <c r="J132" s="3">
        <f t="shared" si="8"/>
        <v>41.491289676152633</v>
      </c>
      <c r="K132">
        <f t="shared" si="9"/>
        <v>2.0498093423899277</v>
      </c>
      <c r="L132" s="10">
        <f t="shared" si="10"/>
        <v>40.47</v>
      </c>
      <c r="M132">
        <f t="shared" si="11"/>
        <v>5.0650094944154382</v>
      </c>
    </row>
    <row r="133" spans="1:13" x14ac:dyDescent="0.3">
      <c r="A133" s="1">
        <v>129</v>
      </c>
      <c r="B133" s="2">
        <v>5.1052023121387302</v>
      </c>
      <c r="C133" s="3">
        <v>30.631213872832355</v>
      </c>
      <c r="D133" s="3">
        <v>-24.939244091143035</v>
      </c>
      <c r="E133" s="3">
        <v>36.323864448494227</v>
      </c>
      <c r="H133" s="3">
        <f t="shared" si="6"/>
        <v>30.63</v>
      </c>
      <c r="I133" s="3">
        <f t="shared" si="7"/>
        <v>39.153313969277157</v>
      </c>
      <c r="J133" s="3">
        <f t="shared" si="8"/>
        <v>41.089081153106363</v>
      </c>
      <c r="K133">
        <f t="shared" si="9"/>
        <v>1.9357671838292063</v>
      </c>
      <c r="L133" s="10">
        <f t="shared" si="10"/>
        <v>40.119999999999997</v>
      </c>
      <c r="M133">
        <f t="shared" si="11"/>
        <v>4.8249431301824686</v>
      </c>
    </row>
    <row r="134" spans="1:13" x14ac:dyDescent="0.3">
      <c r="A134" s="1">
        <v>130</v>
      </c>
      <c r="B134" s="2">
        <v>5.1450867052023144</v>
      </c>
      <c r="C134" s="3">
        <v>30.870520231213828</v>
      </c>
      <c r="D134" s="3">
        <v>-25.065278118148374</v>
      </c>
      <c r="E134" s="3">
        <v>36.676451104147077</v>
      </c>
      <c r="H134" s="3">
        <f t="shared" ref="H134:H178" si="12">ROUND(C134, 2)</f>
        <v>30.87</v>
      </c>
      <c r="I134" s="3">
        <f t="shared" ref="I134:I178" si="13">($D$182/TAN(RADIANS((-D134)))) - ($D$183/2)</f>
        <v>38.871852020706974</v>
      </c>
      <c r="J134" s="3">
        <f t="shared" ref="J134:J178" si="14">($D$182/TAN(RADIANS((E134)))) + ($D$183/2)</f>
        <v>40.691527604404321</v>
      </c>
      <c r="K134">
        <f t="shared" ref="K134:K178" si="15">ABS(I134-J134)</f>
        <v>1.8196755836973466</v>
      </c>
      <c r="L134" s="10">
        <f t="shared" ref="L134:L178" si="16">ABS(ROUND(((I134+J134)/2),2))</f>
        <v>39.78</v>
      </c>
      <c r="M134">
        <f t="shared" ref="M134:M178" si="17">K134*100/L134</f>
        <v>4.574347872542349</v>
      </c>
    </row>
    <row r="135" spans="1:13" x14ac:dyDescent="0.3">
      <c r="A135" s="1">
        <v>131</v>
      </c>
      <c r="B135" s="2">
        <v>5.1849710982658985</v>
      </c>
      <c r="C135" s="3">
        <v>31.109826589595386</v>
      </c>
      <c r="D135" s="3">
        <v>-25.189499731360165</v>
      </c>
      <c r="E135" s="3">
        <v>37.030850109755164</v>
      </c>
      <c r="H135" s="3">
        <f t="shared" si="12"/>
        <v>31.11</v>
      </c>
      <c r="I135" s="3">
        <f t="shared" si="13"/>
        <v>38.597016416315405</v>
      </c>
      <c r="J135" s="3">
        <f t="shared" si="14"/>
        <v>40.298496808692271</v>
      </c>
      <c r="K135">
        <f t="shared" si="15"/>
        <v>1.7014803923768653</v>
      </c>
      <c r="L135" s="10">
        <f t="shared" si="16"/>
        <v>39.450000000000003</v>
      </c>
      <c r="M135">
        <f t="shared" si="17"/>
        <v>4.3130047968995315</v>
      </c>
    </row>
    <row r="136" spans="1:13" x14ac:dyDescent="0.3">
      <c r="A136" s="1">
        <v>132</v>
      </c>
      <c r="B136" s="2">
        <v>5.2248554913294827</v>
      </c>
      <c r="C136" s="3">
        <v>31.349132947976841</v>
      </c>
      <c r="D136" s="3">
        <v>-25.311873979903808</v>
      </c>
      <c r="E136" s="3">
        <v>37.387096564950724</v>
      </c>
      <c r="H136" s="3">
        <f t="shared" si="12"/>
        <v>31.35</v>
      </c>
      <c r="I136" s="3">
        <f t="shared" si="13"/>
        <v>38.328734369923112</v>
      </c>
      <c r="J136" s="3">
        <f t="shared" si="14"/>
        <v>39.909859634817089</v>
      </c>
      <c r="K136">
        <f t="shared" si="15"/>
        <v>1.5811252648939771</v>
      </c>
      <c r="L136" s="10">
        <f t="shared" si="16"/>
        <v>39.119999999999997</v>
      </c>
      <c r="M136">
        <f t="shared" si="17"/>
        <v>4.0417312497289801</v>
      </c>
    </row>
    <row r="137" spans="1:13" x14ac:dyDescent="0.3">
      <c r="A137" s="1">
        <v>133</v>
      </c>
      <c r="B137" s="2">
        <v>5.2647398843930668</v>
      </c>
      <c r="C137" s="3">
        <v>31.588439306358403</v>
      </c>
      <c r="D137" s="3">
        <v>-25.432364819892921</v>
      </c>
      <c r="E137" s="3">
        <v>37.745226457817338</v>
      </c>
      <c r="H137" s="3">
        <f t="shared" si="12"/>
        <v>31.59</v>
      </c>
      <c r="I137" s="3">
        <f t="shared" si="13"/>
        <v>38.066938324637533</v>
      </c>
      <c r="J137" s="3">
        <f t="shared" si="14"/>
        <v>39.52549037350839</v>
      </c>
      <c r="K137">
        <f t="shared" si="15"/>
        <v>1.4585520488708568</v>
      </c>
      <c r="L137" s="10">
        <f t="shared" si="16"/>
        <v>38.799999999999997</v>
      </c>
      <c r="M137">
        <f t="shared" si="17"/>
        <v>3.7591547651310746</v>
      </c>
    </row>
    <row r="138" spans="1:13" x14ac:dyDescent="0.3">
      <c r="A138" s="1">
        <v>134</v>
      </c>
      <c r="B138" s="2">
        <v>5.304624277456651</v>
      </c>
      <c r="C138" s="3">
        <v>31.827745664739879</v>
      </c>
      <c r="D138" s="3">
        <v>-25.550935070158651</v>
      </c>
      <c r="E138" s="3">
        <v>38.105276895227291</v>
      </c>
      <c r="H138" s="3">
        <f t="shared" si="12"/>
        <v>31.83</v>
      </c>
      <c r="I138" s="3">
        <f t="shared" si="13"/>
        <v>37.811565907852724</v>
      </c>
      <c r="J138" s="3">
        <f t="shared" si="14"/>
        <v>39.145266375446475</v>
      </c>
      <c r="K138">
        <f t="shared" si="15"/>
        <v>1.3337004675937507</v>
      </c>
      <c r="L138" s="10">
        <f t="shared" si="16"/>
        <v>38.479999999999997</v>
      </c>
      <c r="M138">
        <f t="shared" si="17"/>
        <v>3.4659575561168161</v>
      </c>
    </row>
    <row r="139" spans="1:13" x14ac:dyDescent="0.3">
      <c r="A139" s="1">
        <v>135</v>
      </c>
      <c r="B139" s="2">
        <v>5.3445086705202351</v>
      </c>
      <c r="C139" s="3">
        <v>32.067052023121363</v>
      </c>
      <c r="D139" s="3">
        <v>-25.667546365642078</v>
      </c>
      <c r="E139" s="3">
        <v>38.467286352634744</v>
      </c>
      <c r="H139" s="3">
        <f t="shared" si="12"/>
        <v>32.07</v>
      </c>
      <c r="I139" s="3">
        <f t="shared" si="13"/>
        <v>37.562559897755364</v>
      </c>
      <c r="J139" s="3">
        <f t="shared" si="14"/>
        <v>38.769067696660159</v>
      </c>
      <c r="K139">
        <f t="shared" si="15"/>
        <v>1.206507798904795</v>
      </c>
      <c r="L139" s="10">
        <f t="shared" si="16"/>
        <v>38.17</v>
      </c>
      <c r="M139">
        <f t="shared" si="17"/>
        <v>3.1608797456242992</v>
      </c>
    </row>
    <row r="140" spans="1:13" x14ac:dyDescent="0.3">
      <c r="A140" s="1">
        <v>136</v>
      </c>
      <c r="B140" s="2">
        <v>5.3843930635838193</v>
      </c>
      <c r="C140" s="3">
        <v>32.306358381502889</v>
      </c>
      <c r="D140" s="3">
        <v>-25.782159108403476</v>
      </c>
      <c r="E140" s="3">
        <v>38.831294282690912</v>
      </c>
      <c r="H140" s="3">
        <f t="shared" si="12"/>
        <v>32.31</v>
      </c>
      <c r="I140" s="3">
        <f t="shared" si="13"/>
        <v>37.31986820123165</v>
      </c>
      <c r="J140" s="3">
        <f t="shared" si="14"/>
        <v>38.396777421719257</v>
      </c>
      <c r="K140">
        <f t="shared" si="15"/>
        <v>1.0769092204876074</v>
      </c>
      <c r="L140" s="10">
        <f t="shared" si="16"/>
        <v>37.86</v>
      </c>
      <c r="M140">
        <f t="shared" si="17"/>
        <v>2.8444511898774629</v>
      </c>
    </row>
    <row r="141" spans="1:13" x14ac:dyDescent="0.3">
      <c r="A141" s="1">
        <v>137</v>
      </c>
      <c r="B141" s="2">
        <v>5.4242774566474035</v>
      </c>
      <c r="C141" s="3">
        <v>32.545664739884373</v>
      </c>
      <c r="D141" s="3">
        <v>-25.894732415966644</v>
      </c>
      <c r="E141" s="3">
        <v>39.197341487974057</v>
      </c>
      <c r="H141" s="3">
        <f t="shared" si="12"/>
        <v>32.549999999999997</v>
      </c>
      <c r="I141" s="3">
        <f t="shared" si="13"/>
        <v>37.083443843607881</v>
      </c>
      <c r="J141" s="3">
        <f t="shared" si="14"/>
        <v>38.028281187803245</v>
      </c>
      <c r="K141">
        <f t="shared" si="15"/>
        <v>0.94483734419536347</v>
      </c>
      <c r="L141" s="10">
        <f t="shared" si="16"/>
        <v>37.56</v>
      </c>
      <c r="M141">
        <f t="shared" si="17"/>
        <v>2.515541384971681</v>
      </c>
    </row>
    <row r="142" spans="1:13" x14ac:dyDescent="0.3">
      <c r="A142" s="1">
        <v>138</v>
      </c>
      <c r="B142" s="2">
        <v>5.4641618497109876</v>
      </c>
      <c r="C142" s="3">
        <v>32.784971098265885</v>
      </c>
      <c r="D142" s="3">
        <v>-26.005224066946095</v>
      </c>
      <c r="E142" s="3">
        <v>39.565470270477128</v>
      </c>
      <c r="H142" s="3">
        <f t="shared" si="12"/>
        <v>32.78</v>
      </c>
      <c r="I142" s="3">
        <f t="shared" si="13"/>
        <v>36.853244970196187</v>
      </c>
      <c r="J142" s="3">
        <f t="shared" si="14"/>
        <v>37.663466966448226</v>
      </c>
      <c r="K142">
        <f t="shared" si="15"/>
        <v>0.81022199625203939</v>
      </c>
      <c r="L142" s="10">
        <f t="shared" si="16"/>
        <v>37.26</v>
      </c>
      <c r="M142">
        <f t="shared" si="17"/>
        <v>2.1745088466238309</v>
      </c>
    </row>
    <row r="143" spans="1:13" x14ac:dyDescent="0.3">
      <c r="A143" s="1">
        <v>139</v>
      </c>
      <c r="B143" s="2">
        <v>5.5040462427745718</v>
      </c>
      <c r="C143" s="3">
        <v>33.024277456647411</v>
      </c>
      <c r="D143" s="3">
        <v>-26.113590443805332</v>
      </c>
      <c r="E143" s="3">
        <v>39.93572441585161</v>
      </c>
      <c r="H143" s="3">
        <f t="shared" si="12"/>
        <v>33.020000000000003</v>
      </c>
      <c r="I143" s="3">
        <f t="shared" si="13"/>
        <v>36.629234859871289</v>
      </c>
      <c r="J143" s="3">
        <f t="shared" si="14"/>
        <v>37.302225020214252</v>
      </c>
      <c r="K143">
        <f t="shared" si="15"/>
        <v>0.67299016034296244</v>
      </c>
      <c r="L143" s="10">
        <f t="shared" si="16"/>
        <v>36.97</v>
      </c>
      <c r="M143">
        <f t="shared" si="17"/>
        <v>1.8203682995481809</v>
      </c>
    </row>
    <row r="144" spans="1:13" x14ac:dyDescent="0.3">
      <c r="A144" s="1">
        <v>140</v>
      </c>
      <c r="B144" s="2">
        <v>5.5439306358381559</v>
      </c>
      <c r="C144" s="3">
        <v>33.263583815028895</v>
      </c>
      <c r="D144" s="3">
        <v>-26.219786472275963</v>
      </c>
      <c r="E144" s="3">
        <v>40.308148892714357</v>
      </c>
      <c r="H144" s="3">
        <f t="shared" si="12"/>
        <v>33.26</v>
      </c>
      <c r="I144" s="3">
        <f t="shared" si="13"/>
        <v>36.411381951592645</v>
      </c>
      <c r="J144" s="3">
        <f t="shared" si="14"/>
        <v>36.944448130142163</v>
      </c>
      <c r="K144">
        <f t="shared" si="15"/>
        <v>0.5330661785495181</v>
      </c>
      <c r="L144" s="10">
        <f t="shared" si="16"/>
        <v>36.68</v>
      </c>
      <c r="M144">
        <f t="shared" si="17"/>
        <v>1.4532883820870177</v>
      </c>
    </row>
    <row r="145" spans="1:13" x14ac:dyDescent="0.3">
      <c r="A145" s="1">
        <v>141</v>
      </c>
      <c r="B145" s="2">
        <v>5.5838150289017401</v>
      </c>
      <c r="C145" s="3">
        <v>33.502890173410421</v>
      </c>
      <c r="D145" s="3">
        <v>-26.323765557682517</v>
      </c>
      <c r="E145" s="3">
        <v>40.682790298758455</v>
      </c>
      <c r="H145" s="3">
        <f t="shared" si="12"/>
        <v>33.5</v>
      </c>
      <c r="I145" s="3">
        <f t="shared" si="13"/>
        <v>36.199659883338157</v>
      </c>
      <c r="J145" s="3">
        <f t="shared" si="14"/>
        <v>36.590031096635528</v>
      </c>
      <c r="K145">
        <f t="shared" si="15"/>
        <v>0.3903712132973709</v>
      </c>
      <c r="L145" s="10">
        <f t="shared" si="16"/>
        <v>36.39</v>
      </c>
      <c r="M145">
        <f t="shared" si="17"/>
        <v>1.0727430978218491</v>
      </c>
    </row>
    <row r="146" spans="1:13" x14ac:dyDescent="0.3">
      <c r="A146" s="1">
        <v>142</v>
      </c>
      <c r="B146" s="2">
        <v>5.6236994219653242</v>
      </c>
      <c r="C146" s="3">
        <v>33.742196531791905</v>
      </c>
      <c r="D146" s="3">
        <v>-26.425479517499618</v>
      </c>
      <c r="E146" s="3">
        <v>41.059696928704525</v>
      </c>
      <c r="H146" s="3">
        <f t="shared" si="12"/>
        <v>33.74</v>
      </c>
      <c r="I146" s="3">
        <f t="shared" si="13"/>
        <v>35.994047544859768</v>
      </c>
      <c r="J146" s="3">
        <f t="shared" si="14"/>
        <v>36.238870630059196</v>
      </c>
      <c r="K146">
        <f t="shared" si="15"/>
        <v>0.24482308519942819</v>
      </c>
      <c r="L146" s="10">
        <f t="shared" si="16"/>
        <v>36.119999999999997</v>
      </c>
      <c r="M146">
        <f t="shared" si="17"/>
        <v>0.67780477629963509</v>
      </c>
    </row>
    <row r="147" spans="1:13" x14ac:dyDescent="0.3">
      <c r="A147" s="1">
        <v>143</v>
      </c>
      <c r="B147" s="2">
        <v>5.6635838150289084</v>
      </c>
      <c r="C147" s="3">
        <v>33.981502890173388</v>
      </c>
      <c r="D147" s="3">
        <v>-26.52487851026147</v>
      </c>
      <c r="E147" s="3">
        <v>41.438918466078924</v>
      </c>
      <c r="H147" s="3">
        <f t="shared" si="12"/>
        <v>33.979999999999997</v>
      </c>
      <c r="I147" s="3">
        <f t="shared" si="13"/>
        <v>35.794529144072236</v>
      </c>
      <c r="J147" s="3">
        <f t="shared" si="14"/>
        <v>35.890865589554117</v>
      </c>
      <c r="K147">
        <f t="shared" si="15"/>
        <v>9.6336445481881583E-2</v>
      </c>
      <c r="L147" s="10">
        <f t="shared" si="16"/>
        <v>35.840000000000003</v>
      </c>
      <c r="M147">
        <f t="shared" si="17"/>
        <v>0.26879588583114278</v>
      </c>
    </row>
    <row r="148" spans="1:13" x14ac:dyDescent="0.3">
      <c r="A148" s="1">
        <v>144</v>
      </c>
      <c r="B148" s="2">
        <v>5.7034682080924926</v>
      </c>
      <c r="C148" s="3">
        <v>34.22080924855495</v>
      </c>
      <c r="D148" s="3">
        <v>-26.621910960282271</v>
      </c>
      <c r="E148" s="3">
        <v>41.820506539473627</v>
      </c>
      <c r="H148" s="3">
        <f t="shared" si="12"/>
        <v>34.22</v>
      </c>
      <c r="I148" s="3">
        <f t="shared" si="13"/>
        <v>35.601094288287342</v>
      </c>
      <c r="J148" s="3">
        <f t="shared" si="14"/>
        <v>35.545916420843767</v>
      </c>
      <c r="K148">
        <f t="shared" si="15"/>
        <v>5.5177867443575224E-2</v>
      </c>
      <c r="L148" s="10">
        <f t="shared" si="16"/>
        <v>35.57</v>
      </c>
      <c r="M148">
        <f t="shared" si="17"/>
        <v>0.1551247327623706</v>
      </c>
    </row>
    <row r="149" spans="1:13" x14ac:dyDescent="0.3">
      <c r="A149" s="1">
        <v>145</v>
      </c>
      <c r="B149" s="2">
        <v>5.7433526011560767</v>
      </c>
      <c r="C149" s="3">
        <v>34.460115606936405</v>
      </c>
      <c r="D149" s="3">
        <v>-26.71652347806311</v>
      </c>
      <c r="E149" s="3">
        <v>42.204514596809901</v>
      </c>
      <c r="H149" s="3">
        <f t="shared" si="12"/>
        <v>34.46</v>
      </c>
      <c r="I149" s="3">
        <f t="shared" si="13"/>
        <v>35.413738080700689</v>
      </c>
      <c r="J149" s="3">
        <f t="shared" si="14"/>
        <v>35.203925242272753</v>
      </c>
      <c r="K149">
        <f t="shared" si="15"/>
        <v>0.2098128384279363</v>
      </c>
      <c r="L149" s="10">
        <f t="shared" si="16"/>
        <v>35.31</v>
      </c>
      <c r="M149">
        <f t="shared" si="17"/>
        <v>0.59420231783612654</v>
      </c>
    </row>
    <row r="150" spans="1:13" x14ac:dyDescent="0.3">
      <c r="A150" s="1">
        <v>146</v>
      </c>
      <c r="B150" s="2">
        <v>5.7832369942196609</v>
      </c>
      <c r="C150" s="3">
        <v>34.69942196531796</v>
      </c>
      <c r="D150" s="3">
        <v>-26.808660776102137</v>
      </c>
      <c r="E150" s="3">
        <v>42.590997771686943</v>
      </c>
      <c r="H150" s="3">
        <f t="shared" si="12"/>
        <v>34.700000000000003</v>
      </c>
      <c r="I150" s="3">
        <f t="shared" si="13"/>
        <v>35.232461232920151</v>
      </c>
      <c r="J150" s="3">
        <f t="shared" si="14"/>
        <v>34.864795926647318</v>
      </c>
      <c r="K150">
        <f t="shared" si="15"/>
        <v>0.36766530627283345</v>
      </c>
      <c r="L150" s="10">
        <f t="shared" si="16"/>
        <v>35.049999999999997</v>
      </c>
      <c r="M150">
        <f t="shared" si="17"/>
        <v>1.0489737696799815</v>
      </c>
    </row>
    <row r="151" spans="1:13" x14ac:dyDescent="0.3">
      <c r="A151" s="1">
        <v>147</v>
      </c>
      <c r="B151" s="2">
        <v>5.823121387283245</v>
      </c>
      <c r="C151" s="3">
        <v>34.938728323699436</v>
      </c>
      <c r="D151" s="3">
        <v>-26.898265579597677</v>
      </c>
      <c r="E151" s="3">
        <v>42.980013344888846</v>
      </c>
      <c r="H151" s="3">
        <f t="shared" si="12"/>
        <v>34.94</v>
      </c>
      <c r="I151" s="3">
        <f t="shared" si="13"/>
        <v>35.057270194828469</v>
      </c>
      <c r="J151" s="3">
        <f t="shared" si="14"/>
        <v>34.528433661387538</v>
      </c>
      <c r="K151">
        <f t="shared" si="15"/>
        <v>0.52883653344093062</v>
      </c>
      <c r="L151" s="10">
        <f t="shared" si="16"/>
        <v>34.79</v>
      </c>
      <c r="M151">
        <f t="shared" si="17"/>
        <v>1.5200820162142301</v>
      </c>
    </row>
    <row r="152" spans="1:13" x14ac:dyDescent="0.3">
      <c r="A152" s="1">
        <v>148</v>
      </c>
      <c r="B152" s="2">
        <v>5.8630057803468292</v>
      </c>
      <c r="C152" s="3">
        <v>35.17803468208092</v>
      </c>
      <c r="D152" s="3">
        <v>-26.985278531849602</v>
      </c>
      <c r="E152" s="3">
        <v>43.371620843140136</v>
      </c>
      <c r="H152" s="3">
        <f t="shared" si="12"/>
        <v>35.18</v>
      </c>
      <c r="I152" s="3">
        <f t="shared" si="13"/>
        <v>34.888177302508524</v>
      </c>
      <c r="J152" s="3">
        <f t="shared" si="14"/>
        <v>34.194744849857742</v>
      </c>
      <c r="K152">
        <f t="shared" si="15"/>
        <v>0.69343245265078224</v>
      </c>
      <c r="L152" s="10">
        <f t="shared" si="16"/>
        <v>34.54</v>
      </c>
      <c r="M152">
        <f t="shared" si="17"/>
        <v>2.0076214610619059</v>
      </c>
    </row>
    <row r="153" spans="1:13" x14ac:dyDescent="0.3">
      <c r="A153" s="1">
        <v>149</v>
      </c>
      <c r="B153" s="2">
        <v>5.9028901734104133</v>
      </c>
      <c r="C153" s="3">
        <v>35.417341040462453</v>
      </c>
      <c r="D153" s="3">
        <v>-27.069638093968656</v>
      </c>
      <c r="E153" s="3">
        <v>43.765881757954283</v>
      </c>
      <c r="H153" s="3">
        <f t="shared" si="12"/>
        <v>35.42</v>
      </c>
      <c r="I153" s="3">
        <f t="shared" si="13"/>
        <v>34.725200945424767</v>
      </c>
      <c r="J153" s="3">
        <f t="shared" si="14"/>
        <v>33.863637334787867</v>
      </c>
      <c r="K153">
        <f t="shared" si="15"/>
        <v>0.86156361063689957</v>
      </c>
      <c r="L153" s="10">
        <f t="shared" si="16"/>
        <v>34.29</v>
      </c>
      <c r="M153">
        <f t="shared" si="17"/>
        <v>2.5125797918836383</v>
      </c>
    </row>
    <row r="154" spans="1:13" x14ac:dyDescent="0.3">
      <c r="A154" s="1">
        <v>150</v>
      </c>
      <c r="B154" s="2">
        <v>5.9427745664739975</v>
      </c>
      <c r="C154" s="3">
        <v>35.656647398843937</v>
      </c>
      <c r="D154" s="3">
        <v>-27.151280438448488</v>
      </c>
      <c r="E154" s="3">
        <v>44.162859848812452</v>
      </c>
      <c r="H154" s="3">
        <f t="shared" si="12"/>
        <v>35.659999999999997</v>
      </c>
      <c r="I154" s="3">
        <f t="shared" si="13"/>
        <v>34.568365754239899</v>
      </c>
      <c r="J154" s="3">
        <f t="shared" si="14"/>
        <v>33.535020119268211</v>
      </c>
      <c r="K154">
        <f t="shared" si="15"/>
        <v>1.0333456349716883</v>
      </c>
      <c r="L154" s="10">
        <f t="shared" si="16"/>
        <v>34.049999999999997</v>
      </c>
      <c r="M154">
        <f t="shared" si="17"/>
        <v>3.0347889426481305</v>
      </c>
    </row>
    <row r="155" spans="1:13" x14ac:dyDescent="0.3">
      <c r="A155" s="1">
        <v>151</v>
      </c>
      <c r="B155" s="2">
        <v>5.9826589595375816</v>
      </c>
      <c r="C155" s="3">
        <v>35.895953757225435</v>
      </c>
      <c r="D155" s="3">
        <v>-27.230139335782898</v>
      </c>
      <c r="E155" s="3">
        <v>44.562621504377709</v>
      </c>
      <c r="H155" s="3">
        <f t="shared" si="12"/>
        <v>35.9</v>
      </c>
      <c r="I155" s="3">
        <f t="shared" si="13"/>
        <v>34.417702811442354</v>
      </c>
      <c r="J155" s="3">
        <f t="shared" si="14"/>
        <v>33.208803060980429</v>
      </c>
      <c r="K155">
        <f t="shared" si="15"/>
        <v>1.2088997504619243</v>
      </c>
      <c r="L155" s="10">
        <f t="shared" si="16"/>
        <v>33.81</v>
      </c>
      <c r="M155">
        <f t="shared" si="17"/>
        <v>3.5755686201180841</v>
      </c>
    </row>
    <row r="156" spans="1:13" x14ac:dyDescent="0.3">
      <c r="A156" s="1">
        <v>152</v>
      </c>
      <c r="B156" s="2">
        <v>6.0225433526011658</v>
      </c>
      <c r="C156" s="3">
        <v>36.13526011560694</v>
      </c>
      <c r="D156" s="3">
        <v>-27.30614603451404</v>
      </c>
      <c r="E156" s="3">
        <v>44.965235334193473</v>
      </c>
      <c r="H156" s="3">
        <f t="shared" si="12"/>
        <v>36.14</v>
      </c>
      <c r="I156" s="3">
        <f t="shared" si="13"/>
        <v>34.273249884753049</v>
      </c>
      <c r="J156" s="3">
        <f t="shared" si="14"/>
        <v>32.884897203879888</v>
      </c>
      <c r="K156">
        <f t="shared" si="15"/>
        <v>1.3883526808731617</v>
      </c>
      <c r="L156" s="10">
        <f t="shared" si="16"/>
        <v>33.58</v>
      </c>
      <c r="M156">
        <f t="shared" si="17"/>
        <v>4.1344630162988736</v>
      </c>
    </row>
    <row r="157" spans="1:13" x14ac:dyDescent="0.3">
      <c r="A157" s="1">
        <v>153</v>
      </c>
      <c r="B157" s="2">
        <v>6.06242774566475</v>
      </c>
      <c r="C157" s="3">
        <v>36.37456647398843</v>
      </c>
      <c r="D157" s="3">
        <v>-27.379229133012185</v>
      </c>
      <c r="E157" s="3">
        <v>45.370772724882073</v>
      </c>
      <c r="H157" s="3">
        <f t="shared" si="12"/>
        <v>36.369999999999997</v>
      </c>
      <c r="I157" s="3">
        <f t="shared" si="13"/>
        <v>34.135051687397279</v>
      </c>
      <c r="J157" s="3">
        <f t="shared" si="14"/>
        <v>32.563214319681208</v>
      </c>
      <c r="K157">
        <f t="shared" si="15"/>
        <v>1.5718373677160713</v>
      </c>
      <c r="L157" s="10">
        <f t="shared" si="16"/>
        <v>33.35</v>
      </c>
      <c r="M157">
        <f t="shared" si="17"/>
        <v>4.7131555253855213</v>
      </c>
    </row>
    <row r="158" spans="1:13" x14ac:dyDescent="0.3">
      <c r="A158" s="1">
        <v>154</v>
      </c>
      <c r="B158" s="2">
        <v>6.1023121387283341</v>
      </c>
      <c r="C158" s="3">
        <v>36.613872832369928</v>
      </c>
      <c r="D158" s="3">
        <v>-27.449314443493407</v>
      </c>
      <c r="E158" s="3">
        <v>45.779307997514401</v>
      </c>
      <c r="H158" s="3">
        <f t="shared" si="12"/>
        <v>36.61</v>
      </c>
      <c r="I158" s="3">
        <f t="shared" si="13"/>
        <v>34.003160165227065</v>
      </c>
      <c r="J158" s="3">
        <f t="shared" si="14"/>
        <v>32.24366679406512</v>
      </c>
      <c r="K158">
        <f t="shared" si="15"/>
        <v>1.7594933711619447</v>
      </c>
      <c r="L158" s="10">
        <f t="shared" si="16"/>
        <v>33.119999999999997</v>
      </c>
      <c r="M158">
        <f t="shared" si="17"/>
        <v>5.3124799853923452</v>
      </c>
    </row>
    <row r="159" spans="1:13" x14ac:dyDescent="0.3">
      <c r="A159" s="1">
        <v>155</v>
      </c>
      <c r="B159" s="2">
        <v>6.1421965317919183</v>
      </c>
      <c r="C159" s="3">
        <v>36.853179190751462</v>
      </c>
      <c r="D159" s="3">
        <v>-27.516324846602846</v>
      </c>
      <c r="E159" s="3">
        <v>46.190918095959773</v>
      </c>
      <c r="H159" s="3">
        <f t="shared" si="12"/>
        <v>36.85</v>
      </c>
      <c r="I159" s="3">
        <f t="shared" si="13"/>
        <v>33.877634814979466</v>
      </c>
      <c r="J159" s="3">
        <f t="shared" si="14"/>
        <v>31.926167878929856</v>
      </c>
      <c r="K159">
        <f t="shared" si="15"/>
        <v>1.9514669360496093</v>
      </c>
      <c r="L159" s="10">
        <f t="shared" si="16"/>
        <v>32.9</v>
      </c>
      <c r="M159">
        <f t="shared" si="17"/>
        <v>5.9315104439197857</v>
      </c>
    </row>
    <row r="160" spans="1:13" x14ac:dyDescent="0.3">
      <c r="A160" s="1">
        <v>156</v>
      </c>
      <c r="B160" s="2">
        <v>6.1820809248555024</v>
      </c>
      <c r="C160" s="3">
        <v>37.092485549132952</v>
      </c>
      <c r="D160" s="3">
        <v>-27.580180136810796</v>
      </c>
      <c r="E160" s="3">
        <v>46.605683192381072</v>
      </c>
      <c r="H160" s="3">
        <f t="shared" si="12"/>
        <v>37.090000000000003</v>
      </c>
      <c r="I160" s="3">
        <f t="shared" si="13"/>
        <v>33.758543034479175</v>
      </c>
      <c r="J160" s="3">
        <f t="shared" si="14"/>
        <v>31.610631228395853</v>
      </c>
      <c r="K160">
        <f t="shared" si="15"/>
        <v>2.1479118060833216</v>
      </c>
      <c r="L160" s="10">
        <f t="shared" si="16"/>
        <v>32.68</v>
      </c>
      <c r="M160">
        <f t="shared" si="17"/>
        <v>6.5725575461545951</v>
      </c>
    </row>
    <row r="161" spans="1:13" x14ac:dyDescent="0.3">
      <c r="A161" s="1">
        <v>157</v>
      </c>
      <c r="B161" s="2">
        <v>6.2219653179190866</v>
      </c>
      <c r="C161" s="3">
        <v>37.331791907514472</v>
      </c>
      <c r="D161" s="3">
        <v>-27.640796857036392</v>
      </c>
      <c r="E161" s="3">
        <v>47.023686923779351</v>
      </c>
      <c r="H161" s="3">
        <f t="shared" si="12"/>
        <v>37.33</v>
      </c>
      <c r="I161" s="3">
        <f t="shared" si="13"/>
        <v>33.645960509243942</v>
      </c>
      <c r="J161" s="3">
        <f t="shared" si="14"/>
        <v>31.296970744598731</v>
      </c>
      <c r="K161">
        <f t="shared" si="15"/>
        <v>2.3489897646452107</v>
      </c>
      <c r="L161" s="10">
        <f t="shared" si="16"/>
        <v>32.47</v>
      </c>
      <c r="M161">
        <f t="shared" si="17"/>
        <v>7.2343386653686812</v>
      </c>
    </row>
    <row r="162" spans="1:13" x14ac:dyDescent="0.3">
      <c r="A162" s="1">
        <v>158</v>
      </c>
      <c r="B162" s="2">
        <v>6.2618497109826707</v>
      </c>
      <c r="C162" s="3">
        <v>37.571098265895955</v>
      </c>
      <c r="D162" s="3">
        <v>-27.698088122146832</v>
      </c>
      <c r="E162" s="3">
        <v>47.44501620141957</v>
      </c>
      <c r="H162" s="3">
        <f t="shared" si="12"/>
        <v>37.57</v>
      </c>
      <c r="I162" s="3">
        <f t="shared" si="13"/>
        <v>33.53997163784009</v>
      </c>
      <c r="J162" s="3">
        <f t="shared" si="14"/>
        <v>30.985100747494634</v>
      </c>
      <c r="K162">
        <f t="shared" si="15"/>
        <v>2.5548708903454553</v>
      </c>
      <c r="L162" s="10">
        <f t="shared" si="16"/>
        <v>32.26</v>
      </c>
      <c r="M162">
        <f t="shared" si="17"/>
        <v>7.9196245825959561</v>
      </c>
    </row>
    <row r="163" spans="1:13" x14ac:dyDescent="0.3">
      <c r="A163" s="1">
        <v>159</v>
      </c>
      <c r="B163" s="2">
        <v>6.3017341040462549</v>
      </c>
      <c r="C163" s="3">
        <v>37.810404624277488</v>
      </c>
      <c r="D163" s="3">
        <v>-27.751963430166196</v>
      </c>
      <c r="E163" s="3">
        <v>47.869761389787776</v>
      </c>
      <c r="H163" s="3">
        <f t="shared" si="12"/>
        <v>37.81</v>
      </c>
      <c r="I163" s="3">
        <f t="shared" si="13"/>
        <v>33.440670000111581</v>
      </c>
      <c r="J163" s="3">
        <f t="shared" si="14"/>
        <v>30.674935860539563</v>
      </c>
      <c r="K163">
        <f t="shared" si="15"/>
        <v>2.7657341395720181</v>
      </c>
      <c r="L163" s="10">
        <f t="shared" si="16"/>
        <v>32.06</v>
      </c>
      <c r="M163">
        <f t="shared" si="17"/>
        <v>8.6267440410855212</v>
      </c>
    </row>
    <row r="164" spans="1:13" x14ac:dyDescent="0.3">
      <c r="A164" s="1">
        <v>160</v>
      </c>
      <c r="B164" s="2">
        <v>6.341618497109839</v>
      </c>
      <c r="C164" s="3">
        <v>38.049710982658965</v>
      </c>
      <c r="D164" s="3">
        <v>-27.802328460195326</v>
      </c>
      <c r="E164" s="3">
        <v>48.298016955802687</v>
      </c>
      <c r="H164" s="3">
        <f t="shared" si="12"/>
        <v>38.049999999999997</v>
      </c>
      <c r="I164" s="3">
        <f t="shared" si="13"/>
        <v>33.348158872370561</v>
      </c>
      <c r="J164" s="3">
        <f t="shared" si="14"/>
        <v>30.366390566178087</v>
      </c>
      <c r="K164">
        <f t="shared" si="15"/>
        <v>2.9817683061924747</v>
      </c>
      <c r="L164" s="10">
        <f t="shared" si="16"/>
        <v>31.86</v>
      </c>
      <c r="M164">
        <f t="shared" si="17"/>
        <v>9.3589714569757536</v>
      </c>
    </row>
    <row r="165" spans="1:13" x14ac:dyDescent="0.3">
      <c r="A165" s="1">
        <v>161</v>
      </c>
      <c r="B165" s="2">
        <v>6.3815028901734232</v>
      </c>
      <c r="C165" s="3">
        <v>38.289017341040442</v>
      </c>
      <c r="D165" s="3">
        <v>-27.849084855981332</v>
      </c>
      <c r="E165" s="3">
        <v>48.729881116916538</v>
      </c>
      <c r="H165" s="3">
        <f t="shared" si="12"/>
        <v>38.29</v>
      </c>
      <c r="I165" s="3">
        <f t="shared" si="13"/>
        <v>33.262551794081176</v>
      </c>
      <c r="J165" s="3">
        <f t="shared" si="14"/>
        <v>30.059379500824122</v>
      </c>
      <c r="K165">
        <f t="shared" si="15"/>
        <v>3.2031722932570545</v>
      </c>
      <c r="L165" s="10">
        <f t="shared" si="16"/>
        <v>31.66</v>
      </c>
      <c r="M165">
        <f t="shared" si="17"/>
        <v>10.117410907318556</v>
      </c>
    </row>
    <row r="166" spans="1:13" x14ac:dyDescent="0.3">
      <c r="A166" s="1">
        <v>162</v>
      </c>
      <c r="B166" s="2">
        <v>6.4213872832370074</v>
      </c>
      <c r="C166" s="3">
        <v>38.528323699421982</v>
      </c>
      <c r="D166" s="3">
        <v>-27.892129993739616</v>
      </c>
      <c r="E166" s="3">
        <v>49.165456366753304</v>
      </c>
      <c r="H166" s="3">
        <f t="shared" si="12"/>
        <v>38.53</v>
      </c>
      <c r="I166" s="3">
        <f t="shared" si="13"/>
        <v>33.183973191560213</v>
      </c>
      <c r="J166" s="3">
        <f t="shared" si="14"/>
        <v>29.753817112629321</v>
      </c>
      <c r="K166">
        <f t="shared" si="15"/>
        <v>3.4301560789308922</v>
      </c>
      <c r="L166" s="10">
        <f t="shared" si="16"/>
        <v>31.47</v>
      </c>
      <c r="M166">
        <f t="shared" si="17"/>
        <v>10.899765106230989</v>
      </c>
    </row>
    <row r="167" spans="1:13" x14ac:dyDescent="0.3">
      <c r="A167" s="1">
        <v>163</v>
      </c>
      <c r="B167" s="2">
        <v>6.4612716763005915</v>
      </c>
      <c r="C167" s="3">
        <v>38.767630057803494</v>
      </c>
      <c r="D167" s="3">
        <v>-27.931356732878168</v>
      </c>
      <c r="E167" s="3">
        <v>49.604849855201515</v>
      </c>
      <c r="H167" s="3">
        <f t="shared" si="12"/>
        <v>38.770000000000003</v>
      </c>
      <c r="I167" s="3">
        <f t="shared" si="13"/>
        <v>33.112559064560784</v>
      </c>
      <c r="J167" s="3">
        <f t="shared" si="14"/>
        <v>29.449617443237248</v>
      </c>
      <c r="K167">
        <f t="shared" si="15"/>
        <v>3.6629416213235366</v>
      </c>
      <c r="L167" s="10">
        <f t="shared" si="16"/>
        <v>31.28</v>
      </c>
      <c r="M167">
        <f t="shared" si="17"/>
        <v>11.710171423668596</v>
      </c>
    </row>
    <row r="168" spans="1:13" x14ac:dyDescent="0.3">
      <c r="A168" s="1">
        <v>164</v>
      </c>
      <c r="B168" s="2">
        <v>6.5011560693641757</v>
      </c>
      <c r="C168" s="3">
        <v>39.006936416184999</v>
      </c>
      <c r="D168" s="3">
        <v>-27.966653148380512</v>
      </c>
      <c r="E168" s="3">
        <v>50.048173520060708</v>
      </c>
      <c r="H168" s="3">
        <f t="shared" si="12"/>
        <v>39.01</v>
      </c>
      <c r="I168" s="3">
        <f t="shared" si="13"/>
        <v>33.048457741915691</v>
      </c>
      <c r="J168" s="3">
        <f t="shared" si="14"/>
        <v>29.146694092471854</v>
      </c>
      <c r="K168">
        <f t="shared" si="15"/>
        <v>3.9017636494438364</v>
      </c>
      <c r="L168" s="10">
        <f t="shared" si="16"/>
        <v>31.1</v>
      </c>
      <c r="M168">
        <f t="shared" si="17"/>
        <v>12.545863824578252</v>
      </c>
    </row>
    <row r="169" spans="1:13" x14ac:dyDescent="0.3">
      <c r="A169" s="1">
        <v>165</v>
      </c>
      <c r="B169" s="2">
        <v>6.5410404624277598</v>
      </c>
      <c r="C169" s="3">
        <v>39.246242774566483</v>
      </c>
      <c r="D169" s="3">
        <v>-27.997902242416718</v>
      </c>
      <c r="E169" s="3">
        <v>50.495544381533655</v>
      </c>
      <c r="H169" s="3">
        <f t="shared" si="12"/>
        <v>39.25</v>
      </c>
      <c r="I169" s="3">
        <f t="shared" si="13"/>
        <v>32.99183071515634</v>
      </c>
      <c r="J169" s="3">
        <f t="shared" si="14"/>
        <v>28.844960073949853</v>
      </c>
      <c r="K169">
        <f t="shared" si="15"/>
        <v>4.1468706412064869</v>
      </c>
      <c r="L169" s="10">
        <f t="shared" si="16"/>
        <v>30.92</v>
      </c>
      <c r="M169">
        <f t="shared" si="17"/>
        <v>13.411612681780358</v>
      </c>
    </row>
    <row r="170" spans="1:13" x14ac:dyDescent="0.3">
      <c r="A170" s="1">
        <v>166</v>
      </c>
      <c r="B170" s="2">
        <v>6.580924855491344</v>
      </c>
      <c r="C170" s="3">
        <v>39.485549132948002</v>
      </c>
      <c r="D170" s="3">
        <v>-28.024981634237751</v>
      </c>
      <c r="E170" s="3">
        <v>50.947084921919988</v>
      </c>
      <c r="H170" s="3">
        <f t="shared" si="12"/>
        <v>39.49</v>
      </c>
      <c r="I170" s="3">
        <f t="shared" si="13"/>
        <v>32.942853556990492</v>
      </c>
      <c r="J170" s="3">
        <f t="shared" si="14"/>
        <v>28.544327622530503</v>
      </c>
      <c r="K170">
        <f t="shared" si="15"/>
        <v>4.3985259344599896</v>
      </c>
      <c r="L170" s="10">
        <f t="shared" si="16"/>
        <v>30.74</v>
      </c>
      <c r="M170">
        <f t="shared" si="17"/>
        <v>14.308802649512005</v>
      </c>
    </row>
    <row r="171" spans="1:13" x14ac:dyDescent="0.3">
      <c r="A171" s="1">
        <v>167</v>
      </c>
      <c r="B171" s="2">
        <v>6.6208092485549281</v>
      </c>
      <c r="C171" s="3">
        <v>39.724855491329485</v>
      </c>
      <c r="D171" s="3">
        <v>-28.04776322552334</v>
      </c>
      <c r="E171" s="3">
        <v>51.402923276546488</v>
      </c>
      <c r="H171" s="3">
        <f t="shared" si="12"/>
        <v>39.72</v>
      </c>
      <c r="I171" s="3">
        <f t="shared" si="13"/>
        <v>32.901716935735173</v>
      </c>
      <c r="J171" s="3">
        <f t="shared" si="14"/>
        <v>28.244708136742524</v>
      </c>
      <c r="K171">
        <f t="shared" si="15"/>
        <v>4.6570087989926492</v>
      </c>
      <c r="L171" s="10">
        <f t="shared" si="16"/>
        <v>30.57</v>
      </c>
      <c r="M171">
        <f t="shared" si="17"/>
        <v>15.233918217182365</v>
      </c>
    </row>
    <row r="172" spans="1:13" x14ac:dyDescent="0.3">
      <c r="A172" s="1">
        <v>168</v>
      </c>
      <c r="B172" s="2">
        <v>6.6606936416185123</v>
      </c>
      <c r="C172" s="3">
        <v>39.964161849710997</v>
      </c>
      <c r="D172" s="3">
        <v>-28.066112839316691</v>
      </c>
      <c r="E172" s="3">
        <v>51.863193589532798</v>
      </c>
      <c r="H172" s="3">
        <f t="shared" si="12"/>
        <v>39.96</v>
      </c>
      <c r="I172" s="3">
        <f t="shared" si="13"/>
        <v>32.868627735961198</v>
      </c>
      <c r="J172" s="3">
        <f t="shared" si="14"/>
        <v>27.946012016192068</v>
      </c>
      <c r="K172">
        <f t="shared" si="15"/>
        <v>4.92261571976913</v>
      </c>
      <c r="L172" s="10">
        <f t="shared" si="16"/>
        <v>30.41</v>
      </c>
      <c r="M172">
        <f t="shared" si="17"/>
        <v>16.18749003541312</v>
      </c>
    </row>
    <row r="173" spans="1:13" x14ac:dyDescent="0.3">
      <c r="A173" s="1">
        <v>169</v>
      </c>
      <c r="B173" s="2">
        <v>6.7005780346820965</v>
      </c>
      <c r="C173" s="3">
        <v>40.203468208092524</v>
      </c>
      <c r="D173" s="3">
        <v>-28.079889829434247</v>
      </c>
      <c r="E173" s="3">
        <v>52.328036508865729</v>
      </c>
      <c r="H173" s="3">
        <f t="shared" si="12"/>
        <v>40.200000000000003</v>
      </c>
      <c r="I173" s="3">
        <f t="shared" si="13"/>
        <v>32.843810298926883</v>
      </c>
      <c r="J173" s="3">
        <f t="shared" si="14"/>
        <v>27.648148419146029</v>
      </c>
      <c r="K173">
        <f t="shared" si="15"/>
        <v>5.1956618797808538</v>
      </c>
      <c r="L173" s="10">
        <f t="shared" si="16"/>
        <v>30.25</v>
      </c>
      <c r="M173">
        <f t="shared" si="17"/>
        <v>17.175741751341665</v>
      </c>
    </row>
    <row r="174" spans="1:13" x14ac:dyDescent="0.3">
      <c r="A174" s="1">
        <v>170</v>
      </c>
      <c r="B174" s="2">
        <v>6.7404624277456806</v>
      </c>
      <c r="C174" s="3">
        <v>40.442774566474029</v>
      </c>
      <c r="D174" s="3">
        <v>-28.088946658080122</v>
      </c>
      <c r="E174" s="3">
        <v>52.797599570172764</v>
      </c>
      <c r="H174" s="3">
        <f t="shared" si="12"/>
        <v>40.44</v>
      </c>
      <c r="I174" s="3">
        <f t="shared" si="13"/>
        <v>32.827507796109721</v>
      </c>
      <c r="J174" s="3">
        <f t="shared" si="14"/>
        <v>27.351025104679032</v>
      </c>
      <c r="K174">
        <f t="shared" si="15"/>
        <v>5.4764826914306894</v>
      </c>
      <c r="L174" s="10">
        <f t="shared" si="16"/>
        <v>30.09</v>
      </c>
      <c r="M174">
        <f t="shared" si="17"/>
        <v>18.200341280926189</v>
      </c>
    </row>
    <row r="175" spans="1:13" x14ac:dyDescent="0.3">
      <c r="A175" s="1">
        <v>171</v>
      </c>
      <c r="B175" s="2">
        <v>6.7803468208092648</v>
      </c>
      <c r="C175" s="3">
        <v>40.682080924855512</v>
      </c>
      <c r="D175" s="3">
        <v>-28.09312843791934</v>
      </c>
      <c r="E175" s="3">
        <v>53.272037708803339</v>
      </c>
      <c r="H175" s="3">
        <f t="shared" si="12"/>
        <v>40.68</v>
      </c>
      <c r="I175" s="3">
        <f t="shared" si="13"/>
        <v>32.819983753277143</v>
      </c>
      <c r="J175" s="3">
        <f t="shared" si="14"/>
        <v>27.054548203152127</v>
      </c>
      <c r="K175">
        <f t="shared" si="15"/>
        <v>5.7654355501250159</v>
      </c>
      <c r="L175" s="10">
        <f t="shared" si="16"/>
        <v>29.94</v>
      </c>
      <c r="M175">
        <f t="shared" si="17"/>
        <v>19.256631763944608</v>
      </c>
    </row>
    <row r="176" spans="1:13" x14ac:dyDescent="0.3">
      <c r="A176" s="1">
        <v>172</v>
      </c>
      <c r="B176" s="2">
        <v>6.8202312138728489</v>
      </c>
      <c r="C176" s="3">
        <v>40.921387283236875</v>
      </c>
      <c r="D176" s="3">
        <v>-28.092272434082311</v>
      </c>
      <c r="E176" s="3">
        <v>53.751513637830008</v>
      </c>
      <c r="H176" s="3">
        <f t="shared" si="12"/>
        <v>40.92</v>
      </c>
      <c r="I176" s="3">
        <f t="shared" si="13"/>
        <v>32.821523745670532</v>
      </c>
      <c r="J176" s="3">
        <f t="shared" si="14"/>
        <v>26.758622081861397</v>
      </c>
      <c r="K176">
        <f t="shared" si="15"/>
        <v>6.0629016638091358</v>
      </c>
      <c r="L176" s="10">
        <f t="shared" si="16"/>
        <v>29.79</v>
      </c>
      <c r="M176">
        <f t="shared" si="17"/>
        <v>20.352137172907472</v>
      </c>
    </row>
    <row r="177" spans="1:13" x14ac:dyDescent="0.3">
      <c r="A177" s="1">
        <v>173</v>
      </c>
      <c r="B177" s="2">
        <v>6.8601156069364331</v>
      </c>
      <c r="C177" s="3">
        <v>41.16069364161855</v>
      </c>
      <c r="D177" s="3">
        <v>-28.086207428706334</v>
      </c>
      <c r="E177" s="3">
        <v>54.236198735250611</v>
      </c>
      <c r="H177" s="3">
        <f t="shared" si="12"/>
        <v>41.16</v>
      </c>
      <c r="I177" s="3">
        <f t="shared" si="13"/>
        <v>32.832437454069932</v>
      </c>
      <c r="J177" s="3">
        <f t="shared" si="14"/>
        <v>26.463148907720328</v>
      </c>
      <c r="K177">
        <f t="shared" si="15"/>
        <v>6.3692885463496047</v>
      </c>
      <c r="L177" s="10">
        <f t="shared" si="16"/>
        <v>29.65</v>
      </c>
      <c r="M177">
        <f t="shared" si="17"/>
        <v>21.481580257502884</v>
      </c>
    </row>
    <row r="178" spans="1:13" ht="15" thickBot="1" x14ac:dyDescent="0.35">
      <c r="A178" s="4">
        <v>174</v>
      </c>
      <c r="B178" s="5">
        <v>6.9</v>
      </c>
      <c r="C178" s="6">
        <v>41.399999999999906</v>
      </c>
      <c r="D178" s="6">
        <v>-28.074753654735442</v>
      </c>
      <c r="E178" s="6">
        <v>54.726272208324296</v>
      </c>
      <c r="H178" s="3">
        <f t="shared" si="12"/>
        <v>41.4</v>
      </c>
      <c r="I178" s="3">
        <f t="shared" si="13"/>
        <v>32.853059826608892</v>
      </c>
      <c r="J178" s="3">
        <f t="shared" si="14"/>
        <v>26.168029268248105</v>
      </c>
      <c r="K178">
        <f t="shared" si="15"/>
        <v>6.6850305583607863</v>
      </c>
      <c r="L178" s="10">
        <f t="shared" si="16"/>
        <v>29.51</v>
      </c>
      <c r="M178">
        <f t="shared" si="17"/>
        <v>22.653441404136853</v>
      </c>
    </row>
    <row r="182" spans="1:13" x14ac:dyDescent="0.3">
      <c r="C182" t="s">
        <v>9</v>
      </c>
      <c r="D182">
        <v>22.857142857142801</v>
      </c>
    </row>
    <row r="183" spans="1:13" x14ac:dyDescent="0.3">
      <c r="C183" t="s">
        <v>10</v>
      </c>
      <c r="D183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Plot14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Thiwanka Reiss</dc:creator>
  <cp:lastModifiedBy>Thiwanka Reiss</cp:lastModifiedBy>
  <dcterms:created xsi:type="dcterms:W3CDTF">2026-04-17T21:26:51Z</dcterms:created>
  <dcterms:modified xsi:type="dcterms:W3CDTF">2026-04-18T17:56:07Z</dcterms:modified>
</cp:coreProperties>
</file>